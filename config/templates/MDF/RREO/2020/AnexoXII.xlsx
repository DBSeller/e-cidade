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3"/>
    <sheet state="visible" name="Página32" sheetId="2" r:id="rId4"/>
    <sheet state="visible" name="Relatorio" sheetId="3" r:id="rId5"/>
  </sheets>
  <definedNames/>
  <calcPr/>
</workbook>
</file>

<file path=xl/sharedStrings.xml><?xml version="1.0" encoding="utf-8"?>
<sst xmlns="http://schemas.openxmlformats.org/spreadsheetml/2006/main" count="1034" uniqueCount="245">
  <si>
    <t>o69_codparamrel</t>
  </si>
  <si>
    <t>o69_ordem</t>
  </si>
  <si>
    <t>o69_labelrel</t>
  </si>
  <si>
    <t>colunas</t>
  </si>
  <si>
    <t>RECEITA DE IMPOSTOS  (I)</t>
  </si>
  <si>
    <t>${previni}</t>
  </si>
  <si>
    <t>${prevatu}</t>
  </si>
  <si>
    <t>${recrealiza}</t>
  </si>
  <si>
    <t>Receita Resultante do Imposto Predial e Territorial Urbano - IPTU</t>
  </si>
  <si>
    <t>IPTU</t>
  </si>
  <si>
    <t>Multas, Juros de Mora, Divida Ativa e Outros Encargos do IPTU</t>
  </si>
  <si>
    <t>Receita Resultante do Imposto sobre Transmissão Inter Vivos - ITBI</t>
  </si>
  <si>
    <t>ITBI</t>
  </si>
  <si>
    <t>Multas, Juros de Mora, Dívida Ativa e Outros Encargos do ITBI</t>
  </si>
  <si>
    <t>Receita Resultante do Imposto sobre Serviços de Qualquer Natureza - ISS</t>
  </si>
  <si>
    <t>ISS</t>
  </si>
  <si>
    <t>Multas, Juros de Mora, Dívida Ativa e Outros Encargos do ISS</t>
  </si>
  <si>
    <t>Receita Resultante do Imposto sobre a Renda e Proventos de Qualquer Natureza Retido na Fonte ? IRRF</t>
  </si>
  <si>
    <t>RECEITA DE TRANSFERÊNCIAS CONSTITUCIONAIS E LEGAIS (II)</t>
  </si>
  <si>
    <t>Cota-Parte FPM</t>
  </si>
  <si>
    <t>Cota-Parte ITR</t>
  </si>
  <si>
    <t>Cota-Parte IPVA</t>
  </si>
  <si>
    <t>Cota-Parte ICMS</t>
  </si>
  <si>
    <t>Cota-Parte IPI-Exportação</t>
  </si>
  <si>
    <t>Compensações Financeiras Provenientes de Impostos e Transferências Constitucionais</t>
  </si>
  <si>
    <t>Desoneração ICMS - LC 87/1996</t>
  </si>
  <si>
    <t>Outras</t>
  </si>
  <si>
    <t>TOTAL DAS RECEITAS RESULTANTES DE IMPOSTOS E TRANFERÊNCIAS CONSTITUCIONAIS E LEGAIS - (III) = (I) + (II)</t>
  </si>
  <si>
    <t>ATENÇÃO BÁSICA  (IV)</t>
  </si>
  <si>
    <t>${dotini}</t>
  </si>
  <si>
    <t>${dotatu}</t>
  </si>
  <si>
    <t>${despemp}</t>
  </si>
  <si>
    <t>${despliq}</t>
  </si>
  <si>
    <t>${desppag}</t>
  </si>
  <si>
    <t>${insc_rp_np}</t>
  </si>
  <si>
    <t>Despesas Correntes</t>
  </si>
  <si>
    <t>Despesas de Capital</t>
  </si>
  <si>
    <t>ASSISTÊNCIA HOSPITALAR E AMBULATORIAL  (V)</t>
  </si>
  <si>
    <t>SUPORTE PROFILÁTICO E TERAPÊUTICO  (VI)</t>
  </si>
  <si>
    <t>VIGILÂNCIA SANITÁRIA  (VII)</t>
  </si>
  <si>
    <t>VIGILÂNCIA EPIDEMIOLÓGICA (VIII)</t>
  </si>
  <si>
    <t>ALIMENTAÇÃO E NUTRIÇÃO (IX)</t>
  </si>
  <si>
    <t>OUTRAS SUBFUNÇÕES (X)</t>
  </si>
  <si>
    <t>TOTAL (XI) = (IV + V + VI + VII + VIII + IX + X)</t>
  </si>
  <si>
    <t>Total das Despesas com ASPS (XII) = (XI)</t>
  </si>
  <si>
    <t>(=) VALOR APLICADO EM ASPS (XVI) = (XII - XIII - XIV - XV)</t>
  </si>
  <si>
    <t>Despesa Mínima a ser Aplicada em ASPS (XVII) = (III) x 15% (LC 141/2012) ou lei Organica</t>
  </si>
  <si>
    <t>${valor}</t>
  </si>
  <si>
    <t>Diferença entre o Valor Aplicado e a Despesa Mínima a ser Aplicada (XVIII) = (XVI (d ou e) - XVII)1</t>
  </si>
  <si>
    <t>Limite não Cumprido (XIX) = (XVIII) (Quando valor for inferior a zero)</t>
  </si>
  <si>
    <t>PERCENTUAL DA RECEITA  DE IMPOSTOS E TRANSFERÊNCIAS CONSTITUCIONAIS E LEGAIS APLICADO EM ASPS  (XVI / III)*100 (mínimo de 15% conforme LC n° 141/2012 ou % da Lei Orgânica Municipal)</t>
  </si>
  <si>
    <t>Diferença de limite não cumprido em 2019</t>
  </si>
  <si>
    <t>${saldo_inicial}</t>
  </si>
  <si>
    <t>${saldo_final}</t>
  </si>
  <si>
    <t>Diferença de limite não cumprido em Exercícios Anteriores</t>
  </si>
  <si>
    <t>TOTAL DA DIFERENÇA DE LIMITE NÃO CUMPRIDO EM EXERCÍCIOS ANTERIORES (XX)</t>
  </si>
  <si>
    <t>Empenhos de 2020 (regra nova)</t>
  </si>
  <si>
    <t>Empenhos de 2019 (regra nova)</t>
  </si>
  <si>
    <t>${valor_minino_aplicado}</t>
  </si>
  <si>
    <t>${valor_aplicado_asps_exercicio}</t>
  </si>
  <si>
    <t>${valor_aplicado_alem_limite_asps}</t>
  </si>
  <si>
    <t>${rp_inscrit}</t>
  </si>
  <si>
    <t>${rpnp_inscritos_indevidamente}</t>
  </si>
  <si>
    <t>${valor_inscrito_considerado_limite}</t>
  </si>
  <si>
    <t>${rp_pagos}</t>
  </si>
  <si>
    <t>${rp_apagar}</t>
  </si>
  <si>
    <t>${rp_cancel}</t>
  </si>
  <si>
    <t>${diferenca_valor_aplicado_limite}</t>
  </si>
  <si>
    <t>Empenhos de 2018</t>
  </si>
  <si>
    <t>Empenhos de 2017</t>
  </si>
  <si>
    <t>Empenhos de 2016 e anteriores</t>
  </si>
  <si>
    <t>TOTAL DOS RESTOS A PAGAR CANCELADOS OU PRESCRITOS ATÉ O FINAL DO EXERCÍCIO ATUAL QUE AFETARAM O CUMPRIMENTO DO LIMITE (XXI)</t>
  </si>
  <si>
    <t>TOTAL DOS RESTOS A PAGAR CANCELADOS OU PRESCRITOS ATÉ O FINAL DO EXERCÍCIO ANTERIOR QUE AFETARAM O CUMPRIMENTO DO LIMITE (XXII)</t>
  </si>
  <si>
    <t>TOTAL DOS RESTOS A PAGAR CANCELADOS OU PRESCRITOS NO EXERCÍCIO ATUAL QUE AFETARAM O CUMPRIMENTO DO LIMITE (XXIII) = (XXI - XXII)</t>
  </si>
  <si>
    <t>Restos a pagar cancelados ou prescritos em 2019 a serem compensados (XXV)</t>
  </si>
  <si>
    <t>Restos a pagar cancelados ou prescritos em exercícios anteriores a serem compensados (XXVI)</t>
  </si>
  <si>
    <t>TOTAL DE RESTOS A PAGAR CANCELADOS OU PRESCRITOS A COMPENSAR (XXVII)</t>
  </si>
  <si>
    <t>RECEITAS DE TRANSFERÊNCIAS PARA A SAÚDE  (XXVIII)</t>
  </si>
  <si>
    <t>Proveniente da União</t>
  </si>
  <si>
    <t>Proveniente dos Estados</t>
  </si>
  <si>
    <t>Proveniente de outros Municípios</t>
  </si>
  <si>
    <t>RECEITA DE OPERAÇÕES DE CRÉDITO INTERNAS E EXTERNAS VINCULADAS A SAÚDE (XXIX)</t>
  </si>
  <si>
    <t>OUTRAS RECEITAS (XXX)</t>
  </si>
  <si>
    <t>TOTAL DE RECEITAS ADICIONAIS PARA FINANCIAMENTO DA SAÚDE (XXXI) = (XXVIII + XXIX + XXX)</t>
  </si>
  <si>
    <t>ATENÇÃO BÁSICA (XXXII)</t>
  </si>
  <si>
    <t>ASSISTÊNCIA HOSPITALAR E AMBULATORIAL (XXXIII)</t>
  </si>
  <si>
    <t>SUPORTE PROFILÁTICO E TERAPÊUTICO (XXXIV)</t>
  </si>
  <si>
    <t>VIGILÂNCIA SANITÁRIA (XXXV)</t>
  </si>
  <si>
    <t>VIGILÂNCIA EPIDEMIOLÓGICA (XXXVI)</t>
  </si>
  <si>
    <t>ALIMENTAÇÃO E NUTRIÇÃO (XXXVII)</t>
  </si>
  <si>
    <t>OUTRAS SUBFUNÇÕES (XXXVIII)</t>
  </si>
  <si>
    <t>TOTAL DAS DESPESAS NÃO COMPUTADAS NO CÁLCULO DO MÍNIMO  (XXXIX) = (XXXII + XXXIII + XXXIV + XXXV + XXXVI + XXXVII + XXXVIII)</t>
  </si>
  <si>
    <t>ATENÇÃO BÁSICA (XL) = (IV + XXXII)</t>
  </si>
  <si>
    <t>ASSISTÊNCIA HOSPITALAR E AMBULATORIAL (XLI) = (V + XXXIII)</t>
  </si>
  <si>
    <t>SUPORTE PROFILÁTICO E TERAPÊUTICO (XLII) = (VI + XXXIV)</t>
  </si>
  <si>
    <t>VIGILÂNCIA SANITÁRIA (XLIII) = (VII + XXXV)</t>
  </si>
  <si>
    <t>&lt;ENTE DA FEDERAÇÃO&gt;</t>
  </si>
  <si>
    <t>VIGILÂNCIA EPIDEMIOLÓGICA (XLIV) = (VIII + XXXVI)</t>
  </si>
  <si>
    <t>ALIMENTAÇÃO E NUTRIÇÃO (XLV) = (XIX + XXXVII)</t>
  </si>
  <si>
    <t>OUTRAS SUBFUNÇÕES (XLVI) = (X + XXXVIII)</t>
  </si>
  <si>
    <t>*ente_federecao*</t>
  </si>
  <si>
    <t>TOTAL DAS DESPESAS COM SAÚDE (XLVII) = (XI + XXXIX)</t>
  </si>
  <si>
    <t>(-) Despesas executadas com recursos provenientes das transferências de recursos de outros entes</t>
  </si>
  <si>
    <t>TOTAL DAS DESPESAS EXECUTADAS COM RECURSOS PRÓPRIOS (XLVIII)</t>
  </si>
  <si>
    <t>(98 rows)</t>
  </si>
  <si>
    <t>RELATÓRIO RESUMIDO DA EXECUÇÃO ORÇAMENTÁRIA de template</t>
  </si>
  <si>
    <t xml:space="preserve">DEMONSTRATIVO DAS RECEITAS E DESPESAS COM AÇÕES E SERVIÇOS PÚBLICOS DE SAÚDE </t>
  </si>
  <si>
    <t>RELATÓRIO RESUMIDO DA EXECUÇÃO ORÇAMENTÁRIA</t>
  </si>
  <si>
    <t>ORÇAMENTOS FISCAL E DA SEGURIDADE SOCIAL</t>
  </si>
  <si>
    <t>*periodo_referencia*</t>
  </si>
  <si>
    <t>&lt;PERÍODO DE REFERÊNCIA&gt;</t>
  </si>
  <si>
    <t>RREO – ANEXO XII  (LC n° 141/2012 art.35)</t>
  </si>
  <si>
    <t>RECEITAS RESULTANTES DE IMPOSTOS E TRANSFERÊNCIAS CONSTITUCIONAIS E LEGAIS</t>
  </si>
  <si>
    <t>PREVISÃO  INICIAL</t>
  </si>
  <si>
    <t>PREVISÃO ATUALIZADA                   (a)</t>
  </si>
  <si>
    <t>RECEITAS REALIZADAS</t>
  </si>
  <si>
    <t>Até o Bimestre (b)</t>
  </si>
  <si>
    <t xml:space="preserve"> % (b/a) x 100 </t>
  </si>
  <si>
    <t>#dados#({"colunainicial":"b2","offset":0,"limit":20})</t>
  </si>
  <si>
    <t>#dados1#({"colunainicial":"h14","offset":0,"limit":20})</t>
  </si>
  <si>
    <t xml:space="preserve">    Receita Resultante do Imposto Predial e Territorial Urbano - IPTU</t>
  </si>
  <si>
    <t xml:space="preserve">        IPTU</t>
  </si>
  <si>
    <t xml:space="preserve">        Multas, Juros de Mora, Divida Ativa e Outros Encargos do IPTU</t>
  </si>
  <si>
    <t xml:space="preserve">    Receita Resultante do Imposto sobre Transmissão Inter Vivos - ITBI</t>
  </si>
  <si>
    <t xml:space="preserve">        ITBI</t>
  </si>
  <si>
    <t xml:space="preserve">        Multas, Juros de Mora, Dívida Ativa e Outros Encargos do ITBI</t>
  </si>
  <si>
    <t xml:space="preserve">    Receita Resultante do Imposto sobre Serviços de Qualquer Natureza - ISS</t>
  </si>
  <si>
    <t xml:space="preserve">        ISS</t>
  </si>
  <si>
    <t xml:space="preserve">        Multas, Juros de Mora, Dívida Ativa e Outros Encargos do ISS</t>
  </si>
  <si>
    <t xml:space="preserve">    Receita Resultante do Imposto sobre a Renda e Proventos de Qualquer Natureza Retido na Fonte – IRRF</t>
  </si>
  <si>
    <t xml:space="preserve">    Cota-Parte FPM</t>
  </si>
  <si>
    <t xml:space="preserve">    Cota-Parte ITR</t>
  </si>
  <si>
    <t xml:space="preserve">    Cota-Parte IPVA </t>
  </si>
  <si>
    <t xml:space="preserve">    Cota-Parte ICMS</t>
  </si>
  <si>
    <t xml:space="preserve">    Cota-Parte IPI-Exportação</t>
  </si>
  <si>
    <t xml:space="preserve">    Compensações Financeiras Provenientes de Impostos e Transferências Constitucionais</t>
  </si>
  <si>
    <t xml:space="preserve">        Desoneração ICMS - LC 87/1996</t>
  </si>
  <si>
    <t xml:space="preserve">        Outras</t>
  </si>
  <si>
    <t>DESPESAS COM AÇÕES E SERVIÇOS PÚBLICOS DE SAÚDE (ASPS) –  POR SUBFUNÇÃO E CATEGORIA ECONÔMICA</t>
  </si>
  <si>
    <t>DOTAÇÃO INICIAL</t>
  </si>
  <si>
    <t xml:space="preserve">DOTAÇÃO ATUALIZADA        (c) </t>
  </si>
  <si>
    <t>DESPESAS EMPENHADAS</t>
  </si>
  <si>
    <t>DESPESAS LIQUIDADAS</t>
  </si>
  <si>
    <t>DESPESAS PAGAS</t>
  </si>
  <si>
    <t>Inscritas em Restos a Pagar não Processados      (g)</t>
  </si>
  <si>
    <t>Até o bimestre (d)</t>
  </si>
  <si>
    <t>% (d/c) x 100</t>
  </si>
  <si>
    <t>Até o bimestre (e)</t>
  </si>
  <si>
    <t>% (e/c) x 100</t>
  </si>
  <si>
    <t>Até o bimestre (f)</t>
  </si>
  <si>
    <t>% (f/c) x 100</t>
  </si>
  <si>
    <t>#dados2#({"colunainicial":"b2","offset":21,"limit":21})</t>
  </si>
  <si>
    <t xml:space="preserve">     Despesas Correntes </t>
  </si>
  <si>
    <t xml:space="preserve">     Despesas de Capital</t>
  </si>
  <si>
    <t xml:space="preserve">     Despesas de Capital </t>
  </si>
  <si>
    <t>APURAÇÃO DO CUMPRIMENTO DO LIMITE MÍNIMO PARA APLICAÇÃO EM ASPS</t>
  </si>
  <si>
    <t>(d)</t>
  </si>
  <si>
    <t>(e)</t>
  </si>
  <si>
    <t>(f)</t>
  </si>
  <si>
    <t>(-) Restos a Pagar Não Processados Inscritos Indevidamente no Exercício sem Disponibilidade Financeira (XIII)</t>
  </si>
  <si>
    <t>(-) Despesas Custeadas com Recursos Vinculados à Parcela do Percentual Mínimo que não foi Aplicada em ASPS em Exercícios Anteriores (XIV)</t>
  </si>
  <si>
    <t>(-) Despesas Custeadas com Disponibilidade de Caixa Vinculada aos Restos a Pagar Cancelados (XV)</t>
  </si>
  <si>
    <t>Despesa Mínima a ser Aplicada em ASPS (XVII) = (III) x 15% (LC 141/2012)</t>
  </si>
  <si>
    <t>Despesa Mínima a ser Aplicada em ASPS (XVII) = (III) x % (Lei Orgânica Municipal)</t>
  </si>
  <si>
    <t>CONTROLE DO VALOR REFERENTE AO PERCENTUAL MÍNIMO NÃO CUMPRIDO EM EXERCÍCIOS ANTERIORES PARA FINS DE APLICAÇÃO DOS RECURSOS VINCULADOS CONFORME ARTIGOS 25 E 26 DA LC 141/2012</t>
  </si>
  <si>
    <t>LIMITE NÃO CUMPRIDO</t>
  </si>
  <si>
    <t>Saldo Inicial                                       (no exercicio atual)                             (h)</t>
  </si>
  <si>
    <t xml:space="preserve">Despesas Custeadas no Exercício de Referência </t>
  </si>
  <si>
    <r>
      <rPr>
        <rFont val="Times New Roman"/>
        <b/>
        <sz val="10.0"/>
      </rPr>
      <t>Saldo Final                               (não aplicado)</t>
    </r>
    <r>
      <rPr>
        <rFont val="Times New Roman"/>
        <b/>
        <sz val="10.0"/>
        <vertAlign val="superscript"/>
      </rPr>
      <t>1</t>
    </r>
    <r>
      <rPr>
        <rFont val="Times New Roman"/>
        <b/>
        <sz val="10.0"/>
      </rPr>
      <t xml:space="preserve">                                             (l) = (h - (i ou j))</t>
    </r>
  </si>
  <si>
    <t xml:space="preserve">Empenhadas           (i) </t>
  </si>
  <si>
    <t>Liquidadas       (j)</t>
  </si>
  <si>
    <t>Pagas                   (k)</t>
  </si>
  <si>
    <r>
      <rPr>
        <color rgb="FF000000"/>
        <sz val="10.0"/>
      </rPr>
      <t xml:space="preserve">Diferença de limite não cumprido em 2020 </t>
    </r>
    <r>
      <rPr>
        <color rgb="FF984807"/>
        <sz val="10.0"/>
      </rPr>
      <t>(saldo final = XIXd)</t>
    </r>
  </si>
  <si>
    <r>
      <rPr>
        <color rgb="FF000000"/>
        <sz val="10.0"/>
      </rPr>
      <t>Diferença de limite não cumprido em 2019</t>
    </r>
    <r>
      <rPr>
        <color rgb="FF984807"/>
        <sz val="10.0"/>
      </rPr>
      <t xml:space="preserve"> (saldo inicial igual ao saldo final do demonstrativo do exercício anterior)</t>
    </r>
  </si>
  <si>
    <r>
      <rPr>
        <color rgb="FF000000"/>
        <sz val="10.0"/>
      </rPr>
      <t xml:space="preserve">Diferença de limite não cumprido em Exercícios Anteriores </t>
    </r>
    <r>
      <rPr>
        <color rgb="FF984807"/>
        <sz val="10.0"/>
      </rPr>
      <t>(saldo inicial igual ao saldo final do demonstrativo do exercício anterior)</t>
    </r>
  </si>
  <si>
    <t>#dados#({"colunainicial":"b2","offset":42,"limit":4})</t>
  </si>
  <si>
    <t>EXECUÇÃO DE RESTOS A PAGAR</t>
  </si>
  <si>
    <r>
      <rPr>
        <rFont val="Times New Roman"/>
        <b/>
        <sz val="10.0"/>
        <u/>
      </rPr>
      <t>EXERCÍCIO DO EMPENHO</t>
    </r>
    <r>
      <rPr>
        <rFont val="Times New Roman"/>
        <b/>
        <color rgb="FF00B050"/>
        <sz val="10.0"/>
        <u/>
        <vertAlign val="superscript"/>
      </rPr>
      <t>2</t>
    </r>
  </si>
  <si>
    <t xml:space="preserve"> Valor Mínimo para aplicação em ASPS                                                 (m)</t>
  </si>
  <si>
    <t xml:space="preserve"> Valor aplicado em ASPS no exercício                                                  (n)</t>
  </si>
  <si>
    <t>Valor aplicado além do limite mínimo                                                         (o) = (n - m),          se &lt; 0,              então (o) = 0</t>
  </si>
  <si>
    <t>Total inscrito em RP no exercício            (p)</t>
  </si>
  <si>
    <t>RPNP Inscritos Indevidamente no Exercício sem Disponibilidade Financeira         q = (XIIId)</t>
  </si>
  <si>
    <t>Valor inscrito em RP considerado no Limite                                  (r) = (p - (o + q))           se &lt; 0,              então (r) = (0)</t>
  </si>
  <si>
    <t>Total de RP pagos                (s)</t>
  </si>
  <si>
    <t>Total de RP a pagar                     (t)</t>
  </si>
  <si>
    <t>Total de RP cancelados ou prescritos                                (u)</t>
  </si>
  <si>
    <t>Diferença entre o valor aplicado além do limite e o total de RP cancelados                                                       (v) = ((o + q) - u))</t>
  </si>
  <si>
    <t>#dados#({"colunainicial":"b2","offset":48,"limit":5})</t>
  </si>
  <si>
    <t>Despesa Mínima a ser Aplicada em ASPS (XVII) = (III) x *texto_lei_organica*</t>
  </si>
  <si>
    <r>
      <rPr>
        <rFont val="Times New Roman"/>
        <b/>
        <sz val="10.0"/>
      </rPr>
      <t xml:space="preserve">TOTAL DOS RESTOS A PAGAR CANCELADOS OU PRESCRITOS ATÉ O FINAL DO EXERCÍCIO ATUAL QUE AFETARAM O CUMPRIMENTO DO LIMITE (XXI) </t>
    </r>
    <r>
      <rPr>
        <rFont val="Times New Roman"/>
        <b/>
        <color rgb="FF984807"/>
        <sz val="10.0"/>
      </rPr>
      <t>(soma dos saldos negativos da coluna "v")</t>
    </r>
  </si>
  <si>
    <r>
      <rPr>
        <rFont val="Times New Roman"/>
        <b/>
        <sz val="10.0"/>
      </rPr>
      <t xml:space="preserve">TOTAL DOS RESTOS A PAGAR CANCELADOS OU PRESCRITOS ATÉ O FINAL DO EXERCÍCIO ANTERIOR QUE AFETARAM O CUMPRIMENTO DO LIMITE (XXII) </t>
    </r>
    <r>
      <rPr>
        <rFont val="Times New Roman"/>
        <b/>
        <color rgb="FF984807"/>
        <sz val="10.0"/>
      </rPr>
      <t>(valor informado no demonstrativo do exercício anterior)</t>
    </r>
  </si>
  <si>
    <r>
      <rPr>
        <rFont val="Times New Roman"/>
        <b/>
        <sz val="10.0"/>
      </rPr>
      <t xml:space="preserve">TOTAL DOS RESTOS A PAGAR CANCELADOS OU PRESCRITOS NO EXERCÍCIO ATUAL QUE AFETARAM O CUMPRIMENTO DO LIMITE (XXIII) = (XXI - XXII) </t>
    </r>
    <r>
      <rPr>
        <rFont val="Times New Roman"/>
        <b/>
        <color rgb="FF984807"/>
        <sz val="10.0"/>
      </rPr>
      <t>(Artigo 24 § 1º e 2º da LC 141/2012)</t>
    </r>
  </si>
  <si>
    <t>CONTROLE DE RESTOS A PAGAR CANCELADOS OU PRESCRITOS CONSIDERADOS PARA FINS DE APLICAÇÃO DA DISPONIBILIDADE DE CAIXA CONFORME ARTIGO 24§ 1º e 2º DA LC 141/2012</t>
  </si>
  <si>
    <t>RESTOS A PAGAR CANCELADOS OU PRESCRITOS</t>
  </si>
  <si>
    <t>Saldo Inicial                                        (w)</t>
  </si>
  <si>
    <r>
      <rPr>
        <rFont val="Times New Roman"/>
        <b/>
        <sz val="10.0"/>
      </rPr>
      <t>Saldo Final (não aplicado)</t>
    </r>
    <r>
      <rPr>
        <rFont val="Times New Roman"/>
        <b/>
        <sz val="10.0"/>
        <vertAlign val="superscript"/>
      </rPr>
      <t>1</t>
    </r>
    <r>
      <rPr>
        <rFont val="Times New Roman"/>
        <b/>
        <sz val="10.0"/>
      </rPr>
      <t xml:space="preserve">         (aa) = (w - (x ou y))</t>
    </r>
  </si>
  <si>
    <t xml:space="preserve">Empenhadas                                           (x)              </t>
  </si>
  <si>
    <t>Liquidadas                    (y)</t>
  </si>
  <si>
    <t>Pagas                    (z)</t>
  </si>
  <si>
    <t>Saldo Final 
(não aplicado)  
(l) = (h - (i ou j))</t>
  </si>
  <si>
    <r>
      <rPr>
        <rFont val="Times New Roman"/>
        <sz val="10.0"/>
      </rPr>
      <t xml:space="preserve"> Restos a pagar cancelados ou prescritos em 2020 a serem compensados (XXIV</t>
    </r>
    <r>
      <rPr>
        <rFont val="Times New Roman"/>
        <color rgb="FF00B050"/>
        <sz val="10.0"/>
      </rPr>
      <t>)</t>
    </r>
    <r>
      <rPr>
        <rFont val="Times New Roman"/>
        <color rgb="FF984807"/>
        <sz val="10.0"/>
      </rPr>
      <t xml:space="preserve"> (saldo inicial = XXIII)</t>
    </r>
  </si>
  <si>
    <r>
      <rPr>
        <rFont val="Times New Roman"/>
        <sz val="10.0"/>
      </rPr>
      <t xml:space="preserve"> Restos a pagar cancelados ou prescritos em 2019 a serem compensados (XXV</t>
    </r>
    <r>
      <rPr>
        <rFont val="Times New Roman"/>
        <color rgb="FF00B050"/>
        <sz val="10.0"/>
      </rPr>
      <t>)</t>
    </r>
    <r>
      <rPr>
        <rFont val="Times New Roman"/>
        <color rgb="FF984807"/>
        <sz val="10.0"/>
      </rPr>
      <t xml:space="preserve"> (saldo inicial igual ao saldo final do demonstrativo do exercício anterior)</t>
    </r>
  </si>
  <si>
    <r>
      <rPr>
        <rFont val="Times New Roman"/>
        <sz val="10.0"/>
      </rPr>
      <t xml:space="preserve"> Restos a pagar cancelados ou prescritos em exercícios anteriores a serem compensados (XXVI)</t>
    </r>
    <r>
      <rPr>
        <rFont val="Times New Roman"/>
        <color rgb="FF984807"/>
        <sz val="10.0"/>
      </rPr>
      <t xml:space="preserve"> (saldo inicial igual ao saldo final do demonstrativo do exercício anterior)</t>
    </r>
  </si>
  <si>
    <t>#dados#({"colunainicial":"b2","offset":53,"limit":1})</t>
  </si>
  <si>
    <r>
      <rPr>
        <color rgb="FF000000"/>
        <sz val="10.0"/>
      </rPr>
      <t xml:space="preserve">Diferença de limite não cumprido em 2020 </t>
    </r>
    <r>
      <rPr>
        <color rgb="FF984807"/>
        <sz val="10.0"/>
      </rPr>
      <t>(saldo final = XIXd)</t>
    </r>
  </si>
  <si>
    <t>RECEITAS ADICIONAIS PARA O FINANCIAMENTO DA SAÚDE NÃO COMPUTADAS NO CÁLCULO DO MÍNIMO</t>
  </si>
  <si>
    <t>PREVISÃO INICIAL</t>
  </si>
  <si>
    <t>PREVISÃO ATUALIZADA                (a)</t>
  </si>
  <si>
    <t xml:space="preserve"> % (b/a)x100 </t>
  </si>
  <si>
    <t>#dados#({"colunainicial":"b2","offset":54,"limit":2})</t>
  </si>
  <si>
    <t xml:space="preserve"> </t>
  </si>
  <si>
    <t xml:space="preserve">     Proveniente da União</t>
  </si>
  <si>
    <r>
      <rPr>
        <color rgb="FF000000"/>
        <sz val="10.0"/>
      </rPr>
      <t>Diferença de limite não cumprido em 2019</t>
    </r>
    <r>
      <rPr>
        <color rgb="FF984807"/>
        <sz val="10.0"/>
      </rPr>
      <t xml:space="preserve"> (saldo inicial igual ao saldo final do demonstrativo do exercício anterior)</t>
    </r>
  </si>
  <si>
    <t xml:space="preserve">     Proveniente dos Estados </t>
  </si>
  <si>
    <r>
      <rPr>
        <color rgb="FF000000"/>
        <sz val="10.0"/>
      </rPr>
      <t xml:space="preserve">Diferença de limite não cumprido em Exercícios Anteriores </t>
    </r>
    <r>
      <rPr>
        <color rgb="FF984807"/>
        <sz val="10.0"/>
      </rPr>
      <t>(saldo inicial igual ao saldo final do demonstrativo do exercício anterior)</t>
    </r>
  </si>
  <si>
    <t xml:space="preserve">     Proveniente de outros Municípios </t>
  </si>
  <si>
    <t>DESPESAS COM SAÚDE NÃO COMPUTADAS NO CÁLCULO DO MÍNIMO</t>
  </si>
  <si>
    <t>DESPESAS COM SAUDE POR SUBFUNÇÕES E CATEGORIA ECONÔMICA NÃO COMPUTADAS NO CÁLCULO DO MÍNIMO</t>
  </si>
  <si>
    <t>EXERCÍCIO DO EMPENHO</t>
  </si>
  <si>
    <t xml:space="preserve">DOTAÇÃO ATUALIZADA          (c) </t>
  </si>
  <si>
    <t>Inscritas em Restos a Pagar não Processados (g)</t>
  </si>
  <si>
    <t>Total de RP a pagar (t)</t>
  </si>
  <si>
    <t>Total de RP cancelados ou prescritos  (u)</t>
  </si>
  <si>
    <t>#dados#({"colunainicial":"b2","offset":57,"limit":1})</t>
  </si>
  <si>
    <t>#dados#({"colunainicial":"b2","offset":58,"limit":4})</t>
  </si>
  <si>
    <r>
      <rPr>
        <b/>
        <sz val="10.0"/>
      </rPr>
      <t xml:space="preserve">TOTAL DOS RESTOS A PAGAR CANCELADOS OU PRESCRITOS ATÉ O FINAL DO EXERCÍCIO ATUAL QUE AFETARAM O CUMPRIMENTO DO LIMITE (XXI) </t>
    </r>
    <r>
      <rPr>
        <b/>
        <color rgb="FF984807"/>
        <sz val="10.0"/>
      </rPr>
      <t>(soma dos saldos negativos da coluna "v")</t>
    </r>
  </si>
  <si>
    <r>
      <rPr>
        <b/>
        <sz val="10.0"/>
      </rPr>
      <t xml:space="preserve">TOTAL DOS RESTOS A PAGAR CANCELADOS OU PRESCRITOS ATÉ O FINAL DO EXERCÍCIO ANTERIOR QUE AFETARAM O CUMPRIMENTO DO LIMITE (XXII) </t>
    </r>
    <r>
      <rPr>
        <b/>
        <color rgb="FF984807"/>
        <sz val="10.0"/>
      </rPr>
      <t>(valor informado no demonstrativo do exercício anterior)</t>
    </r>
  </si>
  <si>
    <r>
      <rPr>
        <b/>
        <sz val="10.0"/>
      </rPr>
      <t xml:space="preserve">TOTAL DOS RESTOS A PAGAR CANCELADOS OU PRESCRITOS NO EXERCÍCIO ATUAL QUE AFETARAM O CUMPRIMENTO DO LIMITE (XXIII) = (XXI - XXII) </t>
    </r>
    <r>
      <rPr>
        <b/>
        <color rgb="FF984807"/>
        <sz val="10.0"/>
      </rPr>
      <t>(Artigo 24 § 1º e 2º da LC 141/2012)</t>
    </r>
  </si>
  <si>
    <r>
      <rPr>
        <b/>
        <sz val="10.0"/>
      </rPr>
      <t>Saldo Final (não aplicado)</t>
    </r>
    <r>
      <rPr>
        <b/>
        <sz val="10.0"/>
        <vertAlign val="superscript"/>
      </rPr>
      <t>1</t>
    </r>
    <r>
      <rPr>
        <b/>
        <sz val="10.0"/>
      </rPr>
      <t xml:space="preserve">         (aa) = (w - (x ou y))</t>
    </r>
  </si>
  <si>
    <t>DESPESAS TOTAIS COM SAÚDE EXECUTADAS COM COM RECURSOS PRÓPRIOS E COM RECURSOS TRANSFERIDOS DE OUTROS ENTES</t>
  </si>
  <si>
    <t xml:space="preserve"> Restos a pagar cancelados ou prescritos em 2020 a serem compensados (XXIV) (saldo inicial = XXIII)</t>
  </si>
  <si>
    <t>Inscritas em Restos a Pagar não Processados  (g)</t>
  </si>
  <si>
    <r>
      <rPr>
        <sz val="10.0"/>
      </rPr>
      <t xml:space="preserve"> Restos a pagar cancelados ou prescritos em 2019 a serem compensados (XX</t>
    </r>
    <r>
      <rPr>
        <sz val="10.0"/>
      </rPr>
      <t>V</t>
    </r>
    <r>
      <rPr>
        <sz val="10.0"/>
      </rPr>
      <t>) (saldo inicial igual ao saldo final do demonstrativo do exercício anterior)</t>
    </r>
  </si>
  <si>
    <r>
      <rPr>
        <sz val="10.0"/>
      </rPr>
      <t xml:space="preserve"> Restos a pagar cancelados ou prescritos em exercícios anteriores a serem compensados (XXVI</t>
    </r>
    <r>
      <rPr>
        <color rgb="FF984807"/>
        <sz val="10.0"/>
      </rPr>
      <t>) (saldo inicial igual ao saldo final do demonstrativo do exercício anterior)</t>
    </r>
  </si>
  <si>
    <t>(-) Despesas executadas com recursos provenientes das transferências de recursos de outros entes3</t>
  </si>
  <si>
    <t>FONTE: Sistema &lt;Nome&gt;, Unidade Responsável &lt;Nome&gt;, Data da emissão &lt;dd/mmm/aaaa&gt; e hora de emissão &lt;hhh e mmm&gt;</t>
  </si>
  <si>
    <t>Notas:</t>
  </si>
  <si>
    <r>
      <rPr>
        <rFont val="Times New Roman"/>
        <sz val="10.0"/>
        <vertAlign val="superscript"/>
      </rPr>
      <t>1</t>
    </r>
    <r>
      <rPr>
        <rFont val="Times New Roman"/>
        <sz val="10.0"/>
      </rPr>
      <t>Nos cinco primeiros bimestres do exercício, o acompanhamento será feito com base na despesa liquidada. No último bimestre do exercício, o valor deverá corresponder ao total da despesa empenhada.</t>
    </r>
  </si>
  <si>
    <r>
      <rPr>
        <rFont val="Times New Roman"/>
        <sz val="10.0"/>
        <vertAlign val="superscript"/>
      </rPr>
      <t>2</t>
    </r>
    <r>
      <rPr>
        <rFont val="Times New Roman"/>
        <sz val="10.0"/>
      </rPr>
      <t>Até o exercício de 2018, o controle da execução dos restos a pagar considerava apenas os valores dos restos a pagar não processados (regra antiga). A partir do exercício de 2019, o controle da execução dos restos a pagar considera os restos a pagar processados e não processados (regra nova).</t>
    </r>
  </si>
  <si>
    <r>
      <rPr>
        <rFont val="Times New Roman"/>
        <sz val="10.0"/>
        <vertAlign val="superscript"/>
      </rPr>
      <t>3</t>
    </r>
    <r>
      <rPr>
        <rFont val="Times New Roman"/>
        <sz val="10.0"/>
      </rPr>
      <t>Essas despesas são consideradas executadas pelo ente transferidor.</t>
    </r>
  </si>
  <si>
    <t>*nota_explicativa*</t>
  </si>
  <si>
    <t>¹ Nos cinco primeiros bimestres do exercício, o acompanhamento será feito com base na despesa liquidada. No último bimestre do exercício, o valor deverá corresponder ao total da despesa empenhada.</t>
  </si>
  <si>
    <t>² Até o exercício de 2018, o controle da execução dos restos a pagar considerava apenas os valores dos restos a pagar não processados (regra antiga). A partir do exercício de 2019, o controle da execução dos restos a pagar considera os restos a pagar processados e não processados (regra nova).</t>
  </si>
  <si>
    <t>³ Essas despesas são consideradas executadas pelo ente transferidor.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</si>
</sst>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 &quot;#,##0.00;[RED]&quot;-R$ &quot;#,##0.00"/>
    <numFmt numFmtId="165" formatCode="&quot;R$ &quot;#,##0.00_);[Red]\(&quot;R$ &quot;#,##0.00\)"/>
    <numFmt numFmtId="166" formatCode="#,##0.0_);\(#,##0.0\)"/>
    <numFmt numFmtId="167" formatCode="#,##0.00_);\(#,##0.00\)"/>
  </numFmts>
  <fonts count="33">
    <font>
      <sz val="10.0"/>
      <color rgb="FF000000"/>
      <name val="Arial"/>
    </font>
    <font/>
    <font>
      <color rgb="FF000000"/>
      <name val="Times New Roman"/>
    </font>
    <font>
      <name val="Calibri"/>
    </font>
    <font>
      <b/>
      <name val="Times New Roman"/>
    </font>
    <font>
      <name val="Times New Roman"/>
    </font>
    <font>
      <u/>
      <name val="Times New Roman"/>
    </font>
    <font>
      <b/>
      <u/>
      <name val="Times New Roman"/>
    </font>
    <font>
      <b/>
      <u/>
      <name val="Times New Roman"/>
    </font>
    <font>
      <b/>
      <color rgb="FF000000"/>
      <name val="Times New Roman"/>
    </font>
    <font>
      <name val="Arial"/>
    </font>
    <font>
      <u/>
      <color rgb="FF000000"/>
      <name val="Times New Roman"/>
    </font>
    <font>
      <b/>
      <u/>
      <color rgb="FF000000"/>
      <name val="Times New Roman"/>
    </font>
    <font>
      <b/>
      <u/>
      <color rgb="FF000000"/>
      <name val="Times New Roman"/>
    </font>
    <font>
      <b/>
      <u/>
      <name val="Times New Roman"/>
    </font>
    <font>
      <sz val="9.0"/>
      <name val="Times New Roman"/>
    </font>
    <font>
      <b/>
      <sz val="9.0"/>
      <name val="Times New Roman"/>
    </font>
    <font>
      <sz val="9.0"/>
      <color rgb="FF000000"/>
      <name val="Times New Roman"/>
    </font>
    <font>
      <b/>
      <sz val="11.0"/>
      <name val="Times New Roman"/>
    </font>
    <font>
      <b/>
      <u/>
      <name val="Times New Roman"/>
    </font>
    <font>
      <u/>
      <name val="Times New Roman"/>
    </font>
    <font>
      <sz val="11.0"/>
      <color rgb="FF000000"/>
      <name val="Inconsolata"/>
    </font>
    <font>
      <b/>
      <u/>
      <name val="Times New Roman"/>
    </font>
    <font>
      <b/>
      <u/>
      <color rgb="FF000000"/>
      <name val="Times New Roman"/>
    </font>
    <font>
      <color rgb="FF000000"/>
      <name val="Arial"/>
    </font>
    <font>
      <b/>
      <u/>
      <name val="Times New Roman"/>
    </font>
    <font>
      <b/>
      <u/>
      <name val="Times New Roman"/>
    </font>
    <font>
      <color rgb="FF00B050"/>
      <name val="Times New Roman"/>
    </font>
    <font>
      <b/>
      <sz val="10.0"/>
      <color rgb="FF000000"/>
      <name val="Times New Roman"/>
    </font>
    <font>
      <b/>
      <u/>
      <sz val="10.0"/>
      <color rgb="FF000000"/>
      <name val="Times New Roman"/>
    </font>
    <font>
      <b/>
      <u/>
      <name val="Times New Roman"/>
    </font>
    <font>
      <sz val="10.0"/>
      <name val="Times New Roman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FBFC0"/>
        <bgColor rgb="FFBFBFC0"/>
      </patternFill>
    </fill>
  </fills>
  <borders count="48">
    <border/>
    <border>
      <bottom style="medium">
        <color rgb="FF000000"/>
      </bottom>
    </border>
    <border>
      <right/>
    </border>
    <border>
      <top style="medium">
        <color rgb="FF000000"/>
      </top>
    </border>
    <border>
      <left/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bottom/>
    </border>
    <border>
      <right style="medium">
        <color rgb="FF000000"/>
      </right>
      <bottom/>
    </border>
    <border>
      <left/>
      <bottom/>
    </border>
    <border>
      <right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center" shrinkToFit="0" wrapText="1"/>
    </xf>
    <xf borderId="0" fillId="0" fontId="3" numFmtId="3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3" xfId="0" applyAlignment="1" applyFont="1" applyNumberFormat="1">
      <alignment horizontal="center" shrinkToFit="0" wrapText="1"/>
    </xf>
    <xf borderId="0" fillId="0" fontId="5" numFmtId="3" xfId="0" applyAlignment="1" applyFont="1" applyNumberFormat="1">
      <alignment vertical="center"/>
    </xf>
    <xf borderId="1" fillId="0" fontId="5" numFmtId="0" xfId="0" applyAlignment="1" applyBorder="1" applyFont="1">
      <alignment vertical="bottom"/>
    </xf>
    <xf borderId="0" fillId="0" fontId="2" numFmtId="49" xfId="0" applyAlignment="1" applyFont="1" applyNumberFormat="1">
      <alignment shrinkToFit="0" wrapText="1"/>
    </xf>
    <xf borderId="1" fillId="0" fontId="5" numFmtId="164" xfId="0" applyAlignment="1" applyBorder="1" applyFont="1" applyNumberFormat="1">
      <alignment vertical="bottom"/>
    </xf>
    <xf borderId="1" fillId="0" fontId="1" numFmtId="0" xfId="0" applyBorder="1" applyFont="1"/>
    <xf borderId="0" fillId="0" fontId="3" numFmtId="49" xfId="0" applyAlignment="1" applyFont="1" applyNumberFormat="1">
      <alignment vertical="bottom"/>
    </xf>
    <xf borderId="1" fillId="0" fontId="3" numFmtId="164" xfId="0" applyBorder="1" applyFont="1" applyNumberFormat="1"/>
    <xf borderId="0" fillId="0" fontId="2" numFmtId="3" xfId="0" applyAlignment="1" applyFont="1" applyNumberFormat="1">
      <alignment horizontal="center" readingOrder="0"/>
    </xf>
    <xf borderId="1" fillId="0" fontId="3" numFmtId="0" xfId="0" applyAlignment="1" applyBorder="1" applyFont="1">
      <alignment vertical="bottom"/>
    </xf>
    <xf borderId="0" fillId="0" fontId="2" numFmtId="49" xfId="0" applyAlignment="1" applyFont="1" applyNumberFormat="1">
      <alignment horizontal="center" readingOrder="0"/>
    </xf>
    <xf borderId="1" fillId="0" fontId="3" numFmtId="164" xfId="0" applyAlignment="1" applyBorder="1" applyFont="1" applyNumberFormat="1">
      <alignment vertical="bottom"/>
    </xf>
    <xf borderId="0" fillId="0" fontId="5" numFmtId="3" xfId="0" applyAlignment="1" applyFont="1" applyNumberFormat="1">
      <alignment horizontal="center" vertical="bottom"/>
    </xf>
    <xf borderId="1" fillId="0" fontId="3" numFmtId="165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/>
    </xf>
    <xf borderId="2" fillId="2" fontId="5" numFmtId="3" xfId="0" applyAlignment="1" applyBorder="1" applyFill="1" applyFont="1" applyNumberFormat="1">
      <alignment vertical="center"/>
    </xf>
    <xf borderId="0" fillId="2" fontId="6" numFmtId="3" xfId="0" applyAlignment="1" applyFont="1" applyNumberFormat="1">
      <alignment horizontal="center" shrinkToFit="0" wrapText="1"/>
    </xf>
    <xf borderId="3" fillId="2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3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2" fontId="4" numFmtId="0" xfId="0" applyAlignment="1" applyFont="1">
      <alignment horizontal="center" shrinkToFit="0" wrapText="1"/>
    </xf>
    <xf borderId="3" fillId="2" fontId="4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7" fillId="0" fontId="1" numFmtId="0" xfId="0" applyBorder="1" applyFont="1"/>
    <xf borderId="0" fillId="2" fontId="4" numFmtId="49" xfId="0" applyAlignment="1" applyFont="1" applyNumberFormat="1">
      <alignment horizontal="center" shrinkToFit="0" wrapText="1"/>
    </xf>
    <xf borderId="0" fillId="2" fontId="4" numFmtId="49" xfId="0" applyAlignment="1" applyFont="1" applyNumberFormat="1">
      <alignment horizontal="center" shrinkToFit="0" vertical="center" wrapText="1"/>
    </xf>
    <xf borderId="8" fillId="0" fontId="1" numFmtId="0" xfId="0" applyBorder="1" applyFont="1"/>
    <xf borderId="0" fillId="2" fontId="4" numFmtId="0" xfId="0" applyAlignment="1" applyFont="1">
      <alignment horizontal="center" shrinkToFit="0" vertical="center" wrapText="1"/>
    </xf>
    <xf borderId="9" fillId="0" fontId="1" numFmtId="0" xfId="0" applyAlignment="1" applyBorder="1" applyFont="1">
      <alignment readingOrder="0" shrinkToFit="0" wrapText="0"/>
    </xf>
    <xf borderId="0" fillId="0" fontId="2" numFmtId="3" xfId="0" applyAlignment="1" applyFont="1" applyNumberFormat="1">
      <alignment horizontal="center" shrinkToFit="0" vertical="center" wrapText="1"/>
    </xf>
    <xf borderId="0" fillId="0" fontId="9" numFmtId="37" xfId="0" applyAlignment="1" applyFont="1" applyNumberFormat="1">
      <alignment shrinkToFit="0" wrapText="1"/>
    </xf>
    <xf borderId="0" fillId="3" fontId="2" numFmtId="37" xfId="0" applyAlignment="1" applyFill="1" applyFont="1" applyNumberFormat="1">
      <alignment readingOrder="0" vertical="center"/>
    </xf>
    <xf borderId="0" fillId="0" fontId="5" numFmtId="166" xfId="0" applyAlignment="1" applyFont="1" applyNumberFormat="1">
      <alignment horizontal="center" shrinkToFit="0" wrapText="1"/>
    </xf>
    <xf borderId="0" fillId="0" fontId="10" numFmtId="166" xfId="0" applyAlignment="1" applyFont="1" applyNumberFormat="1">
      <alignment vertical="bottom"/>
    </xf>
    <xf borderId="0" fillId="0" fontId="9" numFmtId="37" xfId="0" applyAlignment="1" applyFont="1" applyNumberFormat="1">
      <alignment shrinkToFit="0" vertical="center" wrapText="1"/>
    </xf>
    <xf borderId="0" fillId="0" fontId="3" numFmtId="166" xfId="0" applyFont="1" applyNumberFormat="1"/>
    <xf borderId="5" fillId="0" fontId="9" numFmtId="37" xfId="0" applyAlignment="1" applyBorder="1" applyFont="1" applyNumberFormat="1">
      <alignment shrinkToFit="0" vertical="center" wrapText="1"/>
    </xf>
    <xf borderId="0" fillId="0" fontId="2" numFmtId="3" xfId="0" applyAlignment="1" applyFont="1" applyNumberFormat="1">
      <alignment horizontal="center" readingOrder="0" shrinkToFit="0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readingOrder="0" shrinkToFit="0" wrapText="1"/>
    </xf>
    <xf borderId="0" fillId="0" fontId="5" numFmtId="0" xfId="0" applyAlignment="1" applyFont="1">
      <alignment vertical="center"/>
    </xf>
    <xf borderId="0" fillId="0" fontId="5" numFmtId="166" xfId="0" applyAlignment="1" applyFont="1" applyNumberFormat="1">
      <alignment vertical="center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0" fillId="3" fontId="9" numFmtId="37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horizontal="right" shrinkToFit="0" wrapText="1"/>
    </xf>
    <xf borderId="0" fillId="0" fontId="4" numFmtId="167" xfId="0" applyAlignment="1" applyFont="1" applyNumberFormat="1">
      <alignment horizontal="right" shrinkToFit="0" vertical="center" wrapText="1"/>
    </xf>
    <xf borderId="0" fillId="0" fontId="2" numFmtId="37" xfId="0" applyAlignment="1" applyFont="1" applyNumberFormat="1">
      <alignment shrinkToFit="0" wrapText="1"/>
    </xf>
    <xf borderId="0" fillId="0" fontId="5" numFmtId="4" xfId="0" applyAlignment="1" applyFont="1" applyNumberFormat="1">
      <alignment horizontal="right" readingOrder="0"/>
    </xf>
    <xf borderId="0" fillId="0" fontId="4" numFmtId="167" xfId="0" applyAlignment="1" applyFont="1" applyNumberFormat="1">
      <alignment vertical="center"/>
    </xf>
    <xf borderId="0" fillId="3" fontId="2" numFmtId="37" xfId="0" applyAlignment="1" applyFont="1" applyNumberFormat="1">
      <alignment shrinkToFit="0" vertical="center" wrapText="1"/>
    </xf>
    <xf borderId="0" fillId="0" fontId="5" numFmtId="167" xfId="0" applyAlignment="1" applyFont="1" applyNumberFormat="1">
      <alignment vertical="center"/>
    </xf>
    <xf borderId="0" fillId="0" fontId="2" numFmtId="37" xfId="0" applyFont="1" applyNumberFormat="1"/>
    <xf borderId="0" fillId="0" fontId="5" numFmtId="4" xfId="0" applyAlignment="1" applyFont="1" applyNumberFormat="1">
      <alignment horizontal="right"/>
    </xf>
    <xf borderId="0" fillId="0" fontId="10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/>
    </xf>
    <xf borderId="0" fillId="0" fontId="2" numFmtId="3" xfId="0" applyAlignment="1" applyFont="1" applyNumberFormat="1">
      <alignment horizontal="center" vertical="center"/>
    </xf>
    <xf borderId="0" fillId="3" fontId="2" numFmtId="37" xfId="0" applyAlignment="1" applyFont="1" applyNumberFormat="1">
      <alignment vertical="center"/>
    </xf>
    <xf borderId="0" fillId="0" fontId="4" numFmtId="4" xfId="0" applyAlignment="1" applyFont="1" applyNumberFormat="1">
      <alignment horizontal="right" shrinkToFit="0" vertical="top" wrapText="1"/>
    </xf>
    <xf borderId="0" fillId="0" fontId="5" numFmtId="37" xfId="0" applyFont="1" applyNumberFormat="1"/>
    <xf borderId="0" fillId="3" fontId="5" numFmtId="37" xfId="0" applyAlignment="1" applyFont="1" applyNumberFormat="1">
      <alignment vertical="center"/>
    </xf>
    <xf borderId="0" fillId="0" fontId="5" numFmtId="0" xfId="0" applyFont="1"/>
    <xf borderId="0" fillId="3" fontId="5" numFmtId="0" xfId="0" applyAlignment="1" applyFont="1">
      <alignment vertical="center"/>
    </xf>
    <xf borderId="0" fillId="0" fontId="4" numFmtId="0" xfId="0" applyAlignment="1" applyFont="1">
      <alignment shrinkToFit="0" vertical="top" wrapText="1"/>
    </xf>
    <xf borderId="1" fillId="0" fontId="5" numFmtId="4" xfId="0" applyAlignment="1" applyBorder="1" applyFont="1" applyNumberFormat="1">
      <alignment horizontal="right"/>
    </xf>
    <xf borderId="0" fillId="0" fontId="9" numFmtId="3" xfId="0" applyAlignment="1" applyFont="1" applyNumberFormat="1">
      <alignment horizontal="center" vertical="center"/>
    </xf>
    <xf borderId="1" fillId="0" fontId="3" numFmtId="4" xfId="0" applyAlignment="1" applyBorder="1" applyFont="1" applyNumberFormat="1">
      <alignment horizontal="right"/>
    </xf>
    <xf borderId="0" fillId="3" fontId="4" numFmtId="0" xfId="0" applyAlignment="1" applyFont="1">
      <alignment shrinkToFit="0" vertical="center" wrapText="1"/>
    </xf>
    <xf borderId="1" fillId="2" fontId="4" numFmtId="4" xfId="0" applyAlignment="1" applyBorder="1" applyFont="1" applyNumberFormat="1">
      <alignment horizontal="right" shrinkToFit="0" wrapText="1"/>
    </xf>
    <xf borderId="1" fillId="0" fontId="10" numFmtId="4" xfId="0" applyAlignment="1" applyBorder="1" applyFont="1" applyNumberFormat="1">
      <alignment horizontal="right" vertical="bottom"/>
    </xf>
    <xf borderId="0" fillId="0" fontId="3" numFmtId="49" xfId="0" applyFont="1" applyNumberFormat="1"/>
    <xf borderId="0" fillId="3" fontId="5" numFmtId="49" xfId="0" applyAlignment="1" applyFont="1" applyNumberFormat="1">
      <alignment vertical="center"/>
    </xf>
    <xf borderId="0" fillId="0" fontId="3" numFmtId="49" xfId="0" applyAlignment="1" applyFont="1" applyNumberFormat="1">
      <alignment shrinkToFit="0" wrapText="0"/>
    </xf>
    <xf borderId="0" fillId="3" fontId="5" numFmtId="49" xfId="0" applyAlignment="1" applyFont="1" applyNumberFormat="1">
      <alignment shrinkToFit="0" vertical="center" wrapText="0"/>
    </xf>
    <xf borderId="1" fillId="0" fontId="3" numFmtId="49" xfId="0" applyBorder="1" applyFont="1" applyNumberFormat="1"/>
    <xf borderId="8" fillId="2" fontId="4" numFmtId="0" xfId="0" applyAlignment="1" applyBorder="1" applyFont="1">
      <alignment shrinkToFit="0" wrapText="1"/>
    </xf>
    <xf borderId="1" fillId="0" fontId="10" numFmtId="37" xfId="0" applyAlignment="1" applyBorder="1" applyFont="1" applyNumberFormat="1">
      <alignment vertical="bottom"/>
    </xf>
    <xf borderId="1" fillId="3" fontId="5" numFmtId="49" xfId="0" applyAlignment="1" applyBorder="1" applyFont="1" applyNumberFormat="1">
      <alignment vertical="center"/>
    </xf>
    <xf borderId="10" fillId="2" fontId="3" numFmtId="0" xfId="0" applyBorder="1" applyFont="1"/>
    <xf borderId="1" fillId="0" fontId="5" numFmtId="167" xfId="0" applyAlignment="1" applyBorder="1" applyFont="1" applyNumberFormat="1">
      <alignment vertical="center"/>
    </xf>
    <xf borderId="7" fillId="2" fontId="3" numFmtId="0" xfId="0" applyBorder="1" applyFont="1"/>
    <xf borderId="0" fillId="0" fontId="3" numFmtId="3" xfId="0" applyAlignment="1" applyFont="1" applyNumberFormat="1">
      <alignment horizontal="center"/>
    </xf>
    <xf borderId="2" fillId="0" fontId="9" numFmtId="3" xfId="0" applyAlignment="1" applyBorder="1" applyFont="1" applyNumberFormat="1">
      <alignment horizontal="center" vertical="center"/>
    </xf>
    <xf borderId="1" fillId="0" fontId="3" numFmtId="37" xfId="0" applyBorder="1" applyFont="1" applyNumberFormat="1"/>
    <xf borderId="1" fillId="2" fontId="4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4" numFmtId="167" xfId="0" applyAlignment="1" applyBorder="1" applyFont="1" applyNumberFormat="1">
      <alignment vertical="center"/>
    </xf>
    <xf borderId="11" fillId="0" fontId="4" numFmtId="0" xfId="0" applyAlignment="1" applyBorder="1" applyFont="1">
      <alignment vertical="center"/>
    </xf>
    <xf borderId="12" fillId="0" fontId="1" numFmtId="0" xfId="0" applyBorder="1" applyFont="1"/>
    <xf borderId="1" fillId="0" fontId="3" numFmtId="166" xfId="0" applyBorder="1" applyFont="1" applyNumberFormat="1"/>
    <xf borderId="1" fillId="0" fontId="3" numFmtId="166" xfId="0" applyAlignment="1" applyBorder="1" applyFont="1" applyNumberFormat="1">
      <alignment vertical="bottom"/>
    </xf>
    <xf borderId="1" fillId="0" fontId="5" numFmtId="49" xfId="0" applyAlignment="1" applyBorder="1" applyFont="1" applyNumberFormat="1">
      <alignment vertical="center"/>
    </xf>
    <xf borderId="0" fillId="2" fontId="11" numFmtId="3" xfId="0" applyAlignment="1" applyFont="1" applyNumberFormat="1">
      <alignment horizontal="center" shrinkToFit="0" wrapText="1"/>
    </xf>
    <xf borderId="1" fillId="0" fontId="5" numFmtId="37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4" fillId="2" fontId="12" numFmtId="0" xfId="0" applyAlignment="1" applyBorder="1" applyFont="1">
      <alignment horizontal="center" shrinkToFit="0" wrapText="1"/>
    </xf>
    <xf borderId="1" fillId="0" fontId="5" numFmtId="166" xfId="0" applyAlignment="1" applyBorder="1" applyFont="1" applyNumberFormat="1">
      <alignment vertical="center"/>
    </xf>
    <xf borderId="13" fillId="0" fontId="1" numFmtId="0" xfId="0" applyBorder="1" applyFont="1"/>
    <xf borderId="0" fillId="2" fontId="13" numFmtId="0" xfId="0" applyAlignment="1" applyFont="1">
      <alignment horizontal="center" shrinkToFit="0" vertical="center" wrapText="1"/>
    </xf>
    <xf borderId="5" fillId="2" fontId="4" numFmtId="37" xfId="0" applyAlignment="1" applyBorder="1" applyFont="1" applyNumberFormat="1">
      <alignment horizontal="center" shrinkToFit="0" wrapText="1"/>
    </xf>
    <xf borderId="5" fillId="2" fontId="4" numFmtId="37" xfId="0" applyAlignment="1" applyBorder="1" applyFont="1" applyNumberFormat="1">
      <alignment horizontal="center" shrinkToFit="0" vertical="center" wrapText="1"/>
    </xf>
    <xf borderId="13" fillId="2" fontId="4" numFmtId="166" xfId="0" applyAlignment="1" applyBorder="1" applyFont="1" applyNumberFormat="1">
      <alignment horizontal="center" shrinkToFit="0" wrapText="1"/>
    </xf>
    <xf borderId="13" fillId="2" fontId="4" numFmtId="166" xfId="0" applyAlignment="1" applyBorder="1" applyFont="1" applyNumberFormat="1">
      <alignment horizontal="center" shrinkToFit="0" vertical="center" wrapText="1"/>
    </xf>
    <xf borderId="1" fillId="2" fontId="4" numFmtId="166" xfId="0" applyAlignment="1" applyBorder="1" applyFont="1" applyNumberFormat="1">
      <alignment horizontal="center" shrinkToFit="0" wrapText="1"/>
    </xf>
    <xf borderId="1" fillId="2" fontId="4" numFmtId="166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shrinkToFit="0" vertical="center" wrapText="1"/>
    </xf>
    <xf borderId="14" fillId="0" fontId="1" numFmtId="0" xfId="0" applyBorder="1" applyFont="1"/>
    <xf borderId="7" fillId="2" fontId="4" numFmtId="37" xfId="0" applyAlignment="1" applyBorder="1" applyFont="1" applyNumberFormat="1">
      <alignment horizontal="center" shrinkToFit="0" wrapText="1"/>
    </xf>
    <xf borderId="7" fillId="2" fontId="4" numFmtId="166" xfId="0" applyAlignment="1" applyBorder="1" applyFont="1" applyNumberFormat="1">
      <alignment horizontal="center" shrinkToFit="0" wrapText="1"/>
    </xf>
    <xf borderId="7" fillId="2" fontId="4" numFmtId="37" xfId="0" applyAlignment="1" applyBorder="1" applyFont="1" applyNumberFormat="1">
      <alignment horizontal="center" shrinkToFit="0" vertical="center" wrapText="1"/>
    </xf>
    <xf borderId="7" fillId="2" fontId="4" numFmtId="0" xfId="0" applyAlignment="1" applyBorder="1" applyFont="1">
      <alignment horizontal="center" shrinkToFit="0" wrapText="1"/>
    </xf>
    <xf borderId="7" fillId="2" fontId="4" numFmtId="166" xfId="0" applyAlignment="1" applyBorder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readingOrder="0" shrinkToFit="0" vertical="top" wrapText="1"/>
    </xf>
    <xf borderId="7" fillId="2" fontId="4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shrinkToFit="0" vertical="top" wrapText="1"/>
    </xf>
    <xf borderId="5" fillId="3" fontId="5" numFmtId="37" xfId="0" applyAlignment="1" applyBorder="1" applyFont="1" applyNumberFormat="1">
      <alignment vertical="center"/>
    </xf>
    <xf borderId="15" fillId="0" fontId="1" numFmtId="0" xfId="0" applyBorder="1" applyFont="1"/>
    <xf borderId="0" fillId="3" fontId="5" numFmtId="166" xfId="0" applyAlignment="1" applyFont="1" applyNumberFormat="1">
      <alignment vertical="center"/>
    </xf>
    <xf borderId="15" fillId="0" fontId="3" numFmtId="0" xfId="0" applyAlignment="1" applyBorder="1" applyFont="1">
      <alignment vertical="top"/>
    </xf>
    <xf borderId="5" fillId="3" fontId="5" numFmtId="166" xfId="0" applyAlignment="1" applyBorder="1" applyFont="1" applyNumberFormat="1">
      <alignment vertical="center"/>
    </xf>
    <xf borderId="16" fillId="0" fontId="3" numFmtId="0" xfId="0" applyAlignment="1" applyBorder="1" applyFont="1">
      <alignment vertical="top"/>
    </xf>
    <xf borderId="5" fillId="3" fontId="5" numFmtId="0" xfId="0" applyAlignment="1" applyBorder="1" applyFont="1">
      <alignment vertical="center"/>
    </xf>
    <xf borderId="16" fillId="3" fontId="3" numFmtId="37" xfId="0" applyBorder="1" applyFont="1" applyNumberFormat="1"/>
    <xf borderId="16" fillId="3" fontId="3" numFmtId="166" xfId="0" applyBorder="1" applyFont="1" applyNumberFormat="1"/>
    <xf borderId="0" fillId="0" fontId="2" numFmtId="0" xfId="0" applyAlignment="1" applyFont="1">
      <alignment shrinkToFit="0" vertical="center" wrapText="1"/>
    </xf>
    <xf borderId="16" fillId="3" fontId="3" numFmtId="0" xfId="0" applyBorder="1" applyFont="1"/>
    <xf borderId="15" fillId="0" fontId="2" numFmtId="0" xfId="0" applyAlignment="1" applyBorder="1" applyFont="1">
      <alignment shrinkToFit="0" vertical="center" wrapText="1"/>
    </xf>
    <xf borderId="0" fillId="3" fontId="5" numFmtId="3" xfId="0" applyAlignment="1" applyFont="1" applyNumberFormat="1">
      <alignment horizontal="center" readingOrder="0"/>
    </xf>
    <xf borderId="16" fillId="0" fontId="1" numFmtId="0" xfId="0" applyBorder="1" applyFont="1"/>
    <xf borderId="17" fillId="3" fontId="5" numFmtId="0" xfId="0" applyBorder="1" applyFont="1"/>
    <xf borderId="15" fillId="3" fontId="3" numFmtId="0" xfId="0" applyBorder="1" applyFont="1"/>
    <xf borderId="16" fillId="3" fontId="5" numFmtId="3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wrapText="1"/>
    </xf>
    <xf borderId="16" fillId="0" fontId="3" numFmtId="0" xfId="0" applyBorder="1" applyFont="1"/>
    <xf borderId="16" fillId="3" fontId="5" numFmtId="3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shrinkToFit="0" wrapText="1"/>
    </xf>
    <xf borderId="16" fillId="0" fontId="5" numFmtId="0" xfId="0" applyAlignment="1" applyBorder="1" applyFont="1">
      <alignment shrinkToFit="0" wrapText="1"/>
    </xf>
    <xf borderId="2" fillId="3" fontId="5" numFmtId="3" xfId="0" applyAlignment="1" applyBorder="1" applyFont="1" applyNumberFormat="1">
      <alignment horizontal="center" vertical="center"/>
    </xf>
    <xf borderId="15" fillId="3" fontId="5" numFmtId="0" xfId="0" applyAlignment="1" applyBorder="1" applyFont="1">
      <alignment vertical="center"/>
    </xf>
    <xf borderId="8" fillId="3" fontId="5" numFmtId="0" xfId="0" applyBorder="1" applyFont="1"/>
    <xf borderId="1" fillId="3" fontId="3" numFmtId="0" xfId="0" applyBorder="1" applyFont="1"/>
    <xf borderId="15" fillId="0" fontId="5" numFmtId="0" xfId="0" applyAlignment="1" applyBorder="1" applyFont="1">
      <alignment shrinkToFit="0" vertical="center" wrapText="1"/>
    </xf>
    <xf borderId="7" fillId="3" fontId="3" numFmtId="0" xfId="0" applyBorder="1" applyFont="1"/>
    <xf borderId="7" fillId="3" fontId="3" numFmtId="37" xfId="0" applyBorder="1" applyFont="1" applyNumberFormat="1"/>
    <xf borderId="7" fillId="3" fontId="3" numFmtId="166" xfId="0" applyBorder="1" applyFont="1" applyNumberFormat="1"/>
    <xf borderId="8" fillId="2" fontId="9" numFmtId="0" xfId="0" applyAlignment="1" applyBorder="1" applyFont="1">
      <alignment shrinkToFit="0" wrapText="1"/>
    </xf>
    <xf borderId="1" fillId="2" fontId="3" numFmtId="0" xfId="0" applyBorder="1" applyFont="1"/>
    <xf borderId="7" fillId="2" fontId="3" numFmtId="37" xfId="0" applyBorder="1" applyFont="1" applyNumberFormat="1"/>
    <xf borderId="7" fillId="2" fontId="3" numFmtId="166" xfId="0" applyBorder="1" applyFont="1" applyNumberFormat="1"/>
    <xf borderId="4" fillId="2" fontId="14" numFmtId="37" xfId="0" applyAlignment="1" applyBorder="1" applyFont="1" applyNumberFormat="1">
      <alignment horizontal="center" shrinkToFit="0" wrapText="1"/>
    </xf>
    <xf borderId="15" fillId="2" fontId="4" numFmtId="37" xfId="0" applyAlignment="1" applyBorder="1" applyFont="1" applyNumberFormat="1">
      <alignment horizontal="center" shrinkToFit="0" wrapText="1"/>
    </xf>
    <xf borderId="15" fillId="2" fontId="9" numFmtId="166" xfId="0" applyAlignment="1" applyBorder="1" applyFont="1" applyNumberFormat="1">
      <alignment horizontal="center" shrinkToFit="0" wrapText="1"/>
    </xf>
    <xf borderId="15" fillId="2" fontId="4" numFmtId="0" xfId="0" applyAlignment="1" applyBorder="1" applyFont="1">
      <alignment horizontal="center" shrinkToFit="0" wrapText="1"/>
    </xf>
    <xf borderId="1" fillId="2" fontId="4" numFmtId="37" xfId="0" applyAlignment="1" applyBorder="1" applyFont="1" applyNumberFormat="1">
      <alignment horizontal="center" shrinkToFit="0" wrapText="1"/>
    </xf>
    <xf borderId="17" fillId="3" fontId="5" numFmtId="166" xfId="0" applyBorder="1" applyFont="1" applyNumberFormat="1"/>
    <xf borderId="18" fillId="0" fontId="1" numFmtId="0" xfId="0" applyBorder="1" applyFont="1"/>
    <xf borderId="5" fillId="0" fontId="3" numFmtId="37" xfId="0" applyAlignment="1" applyBorder="1" applyFont="1" applyNumberFormat="1">
      <alignment vertical="bottom"/>
    </xf>
    <xf borderId="0" fillId="0" fontId="3" numFmtId="166" xfId="0" applyAlignment="1" applyFont="1" applyNumberFormat="1">
      <alignment vertical="bottom"/>
    </xf>
    <xf borderId="5" fillId="0" fontId="3" numFmtId="166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0" fillId="3" fontId="5" numFmtId="3" xfId="0" applyAlignment="1" applyFont="1" applyNumberFormat="1">
      <alignment horizontal="center" readingOrder="0" shrinkToFit="0" wrapText="1"/>
    </xf>
    <xf borderId="17" fillId="3" fontId="5" numFmtId="166" xfId="0" applyAlignment="1" applyBorder="1" applyFont="1" applyNumberFormat="1">
      <alignment shrinkToFit="0" wrapText="1"/>
    </xf>
    <xf borderId="8" fillId="3" fontId="5" numFmtId="166" xfId="0" applyBorder="1" applyFont="1" applyNumberFormat="1"/>
    <xf borderId="10" fillId="0" fontId="1" numFmtId="0" xfId="0" applyBorder="1" applyFont="1"/>
    <xf borderId="7" fillId="0" fontId="3" numFmtId="37" xfId="0" applyAlignment="1" applyBorder="1" applyFont="1" applyNumberFormat="1">
      <alignment vertical="bottom"/>
    </xf>
    <xf borderId="7" fillId="0" fontId="3" numFmtId="166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0" fillId="2" fontId="15" numFmtId="3" xfId="0" applyAlignment="1" applyFont="1" applyNumberFormat="1">
      <alignment horizontal="center" readingOrder="0" shrinkToFit="0" wrapText="1"/>
    </xf>
    <xf borderId="19" fillId="2" fontId="16" numFmtId="166" xfId="0" applyAlignment="1" applyBorder="1" applyFont="1" applyNumberFormat="1">
      <alignment shrinkToFit="0" wrapText="1"/>
    </xf>
    <xf borderId="10" fillId="2" fontId="3" numFmtId="166" xfId="0" applyBorder="1" applyFont="1" applyNumberFormat="1"/>
    <xf borderId="19" fillId="0" fontId="17" numFmtId="37" xfId="0" applyAlignment="1" applyBorder="1" applyFont="1" applyNumberFormat="1">
      <alignment shrinkToFit="0" wrapText="1"/>
    </xf>
    <xf borderId="7" fillId="0" fontId="3" numFmtId="37" xfId="0" applyBorder="1" applyFont="1" applyNumberFormat="1"/>
    <xf borderId="1" fillId="0" fontId="10" numFmtId="166" xfId="0" applyAlignment="1" applyBorder="1" applyFont="1" applyNumberFormat="1">
      <alignment vertical="bottom"/>
    </xf>
    <xf borderId="1" fillId="0" fontId="17" numFmtId="37" xfId="0" applyAlignment="1" applyBorder="1" applyFont="1" applyNumberFormat="1">
      <alignment shrinkToFit="0" wrapText="1"/>
    </xf>
    <xf borderId="1" fillId="3" fontId="10" numFmtId="166" xfId="0" applyAlignment="1" applyBorder="1" applyFont="1" applyNumberFormat="1">
      <alignment vertical="bottom"/>
    </xf>
    <xf borderId="1" fillId="3" fontId="10" numFmtId="0" xfId="0" applyAlignment="1" applyBorder="1" applyFont="1">
      <alignment vertical="bottom"/>
    </xf>
    <xf borderId="8" fillId="2" fontId="18" numFmtId="37" xfId="0" applyAlignment="1" applyBorder="1" applyFont="1" applyNumberFormat="1">
      <alignment shrinkToFit="0" wrapText="1"/>
    </xf>
    <xf borderId="10" fillId="2" fontId="3" numFmtId="166" xfId="0" applyAlignment="1" applyBorder="1" applyFont="1" applyNumberFormat="1">
      <alignment vertical="bottom"/>
    </xf>
    <xf borderId="7" fillId="2" fontId="3" numFmtId="37" xfId="0" applyAlignment="1" applyBorder="1" applyFont="1" applyNumberFormat="1">
      <alignment vertical="bottom"/>
    </xf>
    <xf borderId="7" fillId="2" fontId="3" numFmtId="166" xfId="0" applyAlignment="1" applyBorder="1" applyFont="1" applyNumberFormat="1">
      <alignment vertical="bottom"/>
    </xf>
    <xf borderId="1" fillId="3" fontId="5" numFmtId="0" xfId="0" applyAlignment="1" applyBorder="1" applyFont="1">
      <alignment vertical="center"/>
    </xf>
    <xf borderId="1" fillId="0" fontId="10" numFmtId="0" xfId="0" applyAlignment="1" applyBorder="1" applyFont="1">
      <alignment vertical="bottom"/>
    </xf>
    <xf borderId="7" fillId="3" fontId="5" numFmtId="39" xfId="0" applyAlignment="1" applyBorder="1" applyFont="1" applyNumberFormat="1">
      <alignment vertical="center"/>
    </xf>
    <xf borderId="0" fillId="0" fontId="3" numFmtId="3" xfId="0" applyAlignment="1" applyFont="1" applyNumberFormat="1">
      <alignment horizontal="center" vertical="bottom"/>
    </xf>
    <xf borderId="5" fillId="3" fontId="5" numFmtId="39" xfId="0" applyAlignment="1" applyBorder="1" applyFont="1" applyNumberFormat="1">
      <alignment readingOrder="0" vertical="center"/>
    </xf>
    <xf borderId="1" fillId="0" fontId="3" numFmtId="49" xfId="0" applyAlignment="1" applyBorder="1" applyFont="1" applyNumberFormat="1">
      <alignment vertical="bottom"/>
    </xf>
    <xf borderId="5" fillId="3" fontId="5" numFmtId="39" xfId="0" applyAlignment="1" applyBorder="1" applyFont="1" applyNumberFormat="1">
      <alignment vertical="center"/>
    </xf>
    <xf borderId="1" fillId="0" fontId="3" numFmtId="37" xfId="0" applyAlignment="1" applyBorder="1" applyFont="1" applyNumberFormat="1">
      <alignment vertical="bottom"/>
    </xf>
    <xf borderId="2" fillId="0" fontId="2" numFmtId="3" xfId="0" applyAlignment="1" applyBorder="1" applyFont="1" applyNumberFormat="1">
      <alignment horizontal="center" shrinkToFit="0" vertical="center" wrapText="1"/>
    </xf>
    <xf borderId="1" fillId="2" fontId="9" numFmtId="0" xfId="0" applyAlignment="1" applyBorder="1" applyFont="1">
      <alignment shrinkToFit="0" vertical="center" wrapText="1"/>
    </xf>
    <xf borderId="4" fillId="2" fontId="19" numFmtId="166" xfId="0" applyAlignment="1" applyBorder="1" applyFont="1" applyNumberFormat="1">
      <alignment horizontal="center" shrinkToFit="0" wrapText="1"/>
    </xf>
    <xf borderId="7" fillId="2" fontId="5" numFmtId="39" xfId="0" applyAlignment="1" applyBorder="1" applyFont="1" applyNumberFormat="1">
      <alignment vertical="center"/>
    </xf>
    <xf borderId="0" fillId="2" fontId="4" numFmtId="166" xfId="0" applyAlignment="1" applyFont="1" applyNumberFormat="1">
      <alignment horizontal="center" shrinkToFit="0" wrapText="1"/>
    </xf>
    <xf borderId="2" fillId="0" fontId="1" numFmtId="0" xfId="0" applyBorder="1" applyFont="1"/>
    <xf borderId="20" fillId="2" fontId="5" numFmtId="39" xfId="0" applyAlignment="1" applyBorder="1" applyFont="1" applyNumberFormat="1">
      <alignment vertical="center"/>
    </xf>
    <xf borderId="0" fillId="2" fontId="9" numFmtId="0" xfId="0" applyAlignment="1" applyFont="1">
      <alignment horizontal="center" shrinkToFit="0" wrapText="1"/>
    </xf>
    <xf borderId="0" fillId="2" fontId="20" numFmtId="3" xfId="0" applyAlignment="1" applyFont="1" applyNumberFormat="1">
      <alignment horizontal="center" readingOrder="0" shrinkToFit="0" wrapText="1"/>
    </xf>
    <xf borderId="17" fillId="0" fontId="1" numFmtId="0" xfId="0" applyBorder="1" applyFont="1"/>
    <xf borderId="21" fillId="0" fontId="1" numFmtId="0" xfId="0" applyBorder="1" applyFont="1"/>
    <xf borderId="0" fillId="3" fontId="2" numFmtId="3" xfId="0" applyAlignment="1" applyFont="1" applyNumberFormat="1">
      <alignment horizontal="center" readingOrder="0" shrinkToFit="0" wrapText="1"/>
    </xf>
    <xf borderId="17" fillId="3" fontId="2" numFmtId="166" xfId="0" applyAlignment="1" applyBorder="1" applyFont="1" applyNumberFormat="1">
      <alignment shrinkToFit="0" wrapText="1"/>
    </xf>
    <xf borderId="1" fillId="0" fontId="5" numFmtId="39" xfId="0" applyAlignment="1" applyBorder="1" applyFont="1" applyNumberFormat="1">
      <alignment vertical="center"/>
    </xf>
    <xf borderId="15" fillId="0" fontId="10" numFmtId="37" xfId="0" applyAlignment="1" applyBorder="1" applyFont="1" applyNumberFormat="1">
      <alignment vertical="bottom"/>
    </xf>
    <xf borderId="0" fillId="3" fontId="21" numFmtId="39" xfId="0" applyAlignment="1" applyFont="1" applyNumberFormat="1">
      <alignment horizontal="left"/>
    </xf>
    <xf borderId="16" fillId="4" fontId="3" numFmtId="37" xfId="0" applyAlignment="1" applyBorder="1" applyFill="1" applyFont="1" applyNumberFormat="1">
      <alignment vertical="bottom"/>
    </xf>
    <xf borderId="0" fillId="2" fontId="22" numFmtId="37" xfId="0" applyAlignment="1" applyFont="1" applyNumberFormat="1">
      <alignment horizontal="center" shrinkToFit="0" vertical="center" wrapText="1"/>
    </xf>
    <xf borderId="16" fillId="4" fontId="3" numFmtId="166" xfId="0" applyAlignment="1" applyBorder="1" applyFont="1" applyNumberFormat="1">
      <alignment vertical="bottom"/>
    </xf>
    <xf borderId="18" fillId="3" fontId="3" numFmtId="0" xfId="0" applyBorder="1" applyFont="1"/>
    <xf borderId="15" fillId="2" fontId="4" numFmtId="37" xfId="0" applyAlignment="1" applyBorder="1" applyFont="1" applyNumberFormat="1">
      <alignment horizontal="center" shrinkToFit="0" vertical="center" wrapText="1"/>
    </xf>
    <xf borderId="18" fillId="3" fontId="3" numFmtId="37" xfId="0" applyBorder="1" applyFont="1" applyNumberFormat="1"/>
    <xf borderId="22" fillId="2" fontId="9" numFmtId="166" xfId="0" applyAlignment="1" applyBorder="1" applyFont="1" applyNumberFormat="1">
      <alignment horizontal="center" shrinkToFit="0" vertical="center" wrapText="1"/>
    </xf>
    <xf borderId="23" fillId="0" fontId="1" numFmtId="0" xfId="0" applyBorder="1" applyFont="1"/>
    <xf borderId="8" fillId="3" fontId="2" numFmtId="166" xfId="0" applyAlignment="1" applyBorder="1" applyFont="1" applyNumberFormat="1">
      <alignment shrinkToFit="0" wrapText="1"/>
    </xf>
    <xf borderId="15" fillId="2" fontId="4" numFmtId="0" xfId="0" applyAlignment="1" applyBorder="1" applyFont="1">
      <alignment horizontal="center" shrinkToFit="0" vertical="center" wrapText="1"/>
    </xf>
    <xf borderId="10" fillId="3" fontId="3" numFmtId="37" xfId="0" applyBorder="1" applyFont="1" applyNumberFormat="1"/>
    <xf borderId="1" fillId="2" fontId="4" numFmtId="37" xfId="0" applyAlignment="1" applyBorder="1" applyFont="1" applyNumberFormat="1">
      <alignment horizontal="center" shrinkToFit="0" vertical="center" wrapText="1"/>
    </xf>
    <xf borderId="10" fillId="3" fontId="3" numFmtId="0" xfId="0" applyBorder="1" applyFont="1"/>
    <xf borderId="5" fillId="0" fontId="5" numFmtId="166" xfId="0" applyAlignment="1" applyBorder="1" applyFont="1" applyNumberFormat="1">
      <alignment vertical="center"/>
    </xf>
    <xf borderId="0" fillId="2" fontId="5" numFmtId="3" xfId="0" applyAlignment="1" applyFont="1" applyNumberFormat="1">
      <alignment horizontal="center" readingOrder="0" shrinkToFit="0" wrapText="1"/>
    </xf>
    <xf borderId="15" fillId="3" fontId="5" numFmtId="166" xfId="0" applyAlignment="1" applyBorder="1" applyFont="1" applyNumberFormat="1">
      <alignment vertical="center"/>
    </xf>
    <xf borderId="8" fillId="2" fontId="4" numFmtId="166" xfId="0" applyAlignment="1" applyBorder="1" applyFont="1" applyNumberFormat="1">
      <alignment shrinkToFit="0" wrapText="1"/>
    </xf>
    <xf borderId="10" fillId="2" fontId="3" numFmtId="37" xfId="0" applyBorder="1" applyFont="1" applyNumberFormat="1"/>
    <xf borderId="0" fillId="0" fontId="5" numFmtId="4" xfId="0" applyAlignment="1" applyFont="1" applyNumberFormat="1">
      <alignment vertical="center"/>
    </xf>
    <xf borderId="0" fillId="2" fontId="2" numFmtId="3" xfId="0" applyAlignment="1" applyFont="1" applyNumberFormat="1">
      <alignment horizontal="center" shrinkToFit="0" wrapText="1"/>
    </xf>
    <xf borderId="24" fillId="2" fontId="9" numFmtId="0" xfId="0" applyAlignment="1" applyBorder="1" applyFont="1">
      <alignment horizontal="center" shrinkToFit="0" wrapText="1"/>
    </xf>
    <xf borderId="2" fillId="3" fontId="5" numFmtId="3" xfId="0" applyAlignment="1" applyBorder="1" applyFont="1" applyNumberFormat="1">
      <alignment horizontal="center" shrinkToFit="0" vertical="center" wrapText="1"/>
    </xf>
    <xf borderId="19" fillId="0" fontId="1" numFmtId="0" xfId="0" applyBorder="1" applyFont="1"/>
    <xf borderId="15" fillId="3" fontId="5" numFmtId="166" xfId="0" applyAlignment="1" applyBorder="1" applyFont="1" applyNumberFormat="1">
      <alignment shrinkToFit="0" vertical="center" wrapText="1"/>
    </xf>
    <xf borderId="25" fillId="2" fontId="23" numFmtId="49" xfId="0" applyAlignment="1" applyBorder="1" applyFont="1" applyNumberFormat="1">
      <alignment horizontal="center" shrinkToFit="0" wrapText="1"/>
    </xf>
    <xf borderId="1" fillId="3" fontId="5" numFmtId="166" xfId="0" applyAlignment="1" applyBorder="1" applyFont="1" applyNumberFormat="1">
      <alignment vertical="center"/>
    </xf>
    <xf borderId="0" fillId="2" fontId="4" numFmtId="37" xfId="0" applyAlignment="1" applyFont="1" applyNumberFormat="1">
      <alignment horizontal="center" shrinkToFit="0" wrapText="1"/>
    </xf>
    <xf borderId="1" fillId="0" fontId="5" numFmtId="4" xfId="0" applyAlignment="1" applyBorder="1" applyFont="1" applyNumberFormat="1">
      <alignment vertical="center"/>
    </xf>
    <xf borderId="13" fillId="2" fontId="4" numFmtId="37" xfId="0" applyAlignment="1" applyBorder="1" applyFont="1" applyNumberFormat="1">
      <alignment horizontal="center" shrinkToFit="0" wrapText="1"/>
    </xf>
    <xf borderId="5" fillId="2" fontId="15" numFmtId="3" xfId="0" applyAlignment="1" applyBorder="1" applyFont="1" applyNumberFormat="1">
      <alignment horizontal="center" shrinkToFit="0" vertical="center" wrapText="1"/>
    </xf>
    <xf borderId="13" fillId="2" fontId="4" numFmtId="0" xfId="0" applyAlignment="1" applyBorder="1" applyFont="1">
      <alignment horizontal="center" shrinkToFit="0" wrapText="1"/>
    </xf>
    <xf borderId="1" fillId="2" fontId="16" numFmtId="166" xfId="0" applyAlignment="1" applyBorder="1" applyFont="1" applyNumberFormat="1">
      <alignment shrinkToFit="0" vertical="center" wrapText="1"/>
    </xf>
    <xf borderId="13" fillId="2" fontId="9" numFmtId="166" xfId="0" applyAlignment="1" applyBorder="1" applyFont="1" applyNumberFormat="1">
      <alignment horizontal="center" shrinkToFit="0" wrapText="1"/>
    </xf>
    <xf borderId="1" fillId="2" fontId="5" numFmtId="4" xfId="0" applyAlignment="1" applyBorder="1" applyFont="1" applyNumberFormat="1">
      <alignment vertical="center"/>
    </xf>
    <xf borderId="5" fillId="3" fontId="5" numFmtId="3" xfId="0" applyAlignment="1" applyBorder="1" applyFont="1" applyNumberFormat="1">
      <alignment horizontal="center" vertical="center"/>
    </xf>
    <xf borderId="0" fillId="3" fontId="24" numFmtId="37" xfId="0" applyAlignment="1" applyFont="1" applyNumberFormat="1">
      <alignment horizontal="left" readingOrder="0"/>
    </xf>
    <xf borderId="26" fillId="0" fontId="1" numFmtId="0" xfId="0" applyBorder="1" applyFont="1"/>
    <xf borderId="5" fillId="0" fontId="17" numFmtId="37" xfId="0" applyAlignment="1" applyBorder="1" applyFont="1" applyNumberFormat="1">
      <alignment readingOrder="0" shrinkToFit="0" vertical="center" wrapText="1"/>
    </xf>
    <xf borderId="27" fillId="0" fontId="1" numFmtId="0" xfId="0" applyBorder="1" applyFont="1"/>
    <xf borderId="28" fillId="0" fontId="1" numFmtId="0" xfId="0" applyBorder="1" applyFont="1"/>
    <xf borderId="3" fillId="0" fontId="17" numFmtId="37" xfId="0" applyAlignment="1" applyBorder="1" applyFont="1" applyNumberFormat="1">
      <alignment readingOrder="0" shrinkToFit="0" vertical="center" wrapText="1"/>
    </xf>
    <xf borderId="29" fillId="0" fontId="1" numFmtId="0" xfId="0" applyBorder="1" applyFont="1"/>
    <xf borderId="30" fillId="0" fontId="1" numFmtId="4" xfId="0" applyBorder="1" applyFont="1" applyNumberFormat="1"/>
    <xf borderId="0" fillId="3" fontId="5" numFmtId="3" xfId="0" applyAlignment="1" applyFont="1" applyNumberFormat="1">
      <alignment horizontal="center" readingOrder="0" vertical="center"/>
    </xf>
    <xf borderId="0" fillId="3" fontId="3" numFmtId="3" xfId="0" applyAlignment="1" applyFont="1" applyNumberFormat="1">
      <alignment horizontal="center" readingOrder="0"/>
    </xf>
    <xf borderId="31" fillId="0" fontId="15" numFmtId="0" xfId="0" applyAlignment="1" applyBorder="1" applyFont="1">
      <alignment horizontal="left" shrinkToFit="0" vertical="center" wrapText="1"/>
    </xf>
    <xf borderId="32" fillId="3" fontId="3" numFmtId="49" xfId="0" applyBorder="1" applyFont="1" applyNumberFormat="1"/>
    <xf borderId="33" fillId="0" fontId="1" numFmtId="0" xfId="0" applyBorder="1" applyFont="1"/>
    <xf borderId="0" fillId="0" fontId="3" numFmtId="0" xfId="0" applyFont="1"/>
    <xf borderId="5" fillId="0" fontId="3" numFmtId="0" xfId="0" applyBorder="1" applyFont="1"/>
    <xf borderId="0" fillId="3" fontId="5" numFmtId="3" xfId="0" applyAlignment="1" applyFont="1" applyNumberFormat="1">
      <alignment horizontal="center" shrinkToFit="0" vertical="center" wrapText="1"/>
    </xf>
    <xf borderId="15" fillId="3" fontId="5" numFmtId="37" xfId="0" applyAlignment="1" applyBorder="1" applyFont="1" applyNumberFormat="1">
      <alignment horizontal="center" shrinkToFit="0" wrapText="1"/>
    </xf>
    <xf borderId="34" fillId="0" fontId="17" numFmtId="37" xfId="0" applyAlignment="1" applyBorder="1" applyFont="1" applyNumberFormat="1">
      <alignment shrinkToFit="0" vertical="center" wrapText="1"/>
    </xf>
    <xf borderId="15" fillId="0" fontId="3" numFmtId="0" xfId="0" applyBorder="1" applyFont="1"/>
    <xf borderId="1" fillId="0" fontId="17" numFmtId="37" xfId="0" applyAlignment="1" applyBorder="1" applyFont="1" applyNumberFormat="1">
      <alignment shrinkToFit="0" vertical="center" wrapText="1"/>
    </xf>
    <xf borderId="2" fillId="2" fontId="15" numFmtId="3" xfId="0" applyAlignment="1" applyBorder="1" applyFont="1" applyNumberFormat="1">
      <alignment horizontal="center" shrinkToFit="0" vertical="center" wrapText="1"/>
    </xf>
    <xf borderId="35" fillId="3" fontId="3" numFmtId="49" xfId="0" applyBorder="1" applyFont="1" applyNumberFormat="1"/>
    <xf borderId="1" fillId="2" fontId="18" numFmtId="37" xfId="0" applyAlignment="1" applyBorder="1" applyFont="1" applyNumberFormat="1">
      <alignment shrinkToFit="0" vertical="center" wrapText="1"/>
    </xf>
    <xf borderId="0" fillId="3" fontId="3" numFmtId="3" xfId="0" applyAlignment="1" applyFont="1" applyNumberFormat="1">
      <alignment horizontal="center"/>
    </xf>
    <xf borderId="36" fillId="3" fontId="3" numFmtId="0" xfId="0" applyBorder="1" applyFont="1"/>
    <xf borderId="33" fillId="2" fontId="5" numFmtId="4" xfId="0" applyAlignment="1" applyBorder="1" applyFont="1" applyNumberFormat="1">
      <alignment vertical="center"/>
    </xf>
    <xf borderId="10" fillId="0" fontId="3" numFmtId="37" xfId="0" applyAlignment="1" applyBorder="1" applyFont="1" applyNumberFormat="1">
      <alignment vertical="bottom"/>
    </xf>
    <xf borderId="20" fillId="0" fontId="1" numFmtId="0" xfId="0" applyBorder="1" applyFont="1"/>
    <xf borderId="0" fillId="2" fontId="2" numFmtId="3" xfId="0" applyAlignment="1" applyFont="1" applyNumberFormat="1">
      <alignment horizontal="center" readingOrder="0" shrinkToFit="0" wrapText="1"/>
    </xf>
    <xf borderId="0" fillId="0" fontId="5" numFmtId="49" xfId="0" applyAlignment="1" applyFont="1" applyNumberFormat="1">
      <alignment vertical="center"/>
    </xf>
    <xf borderId="8" fillId="2" fontId="9" numFmtId="37" xfId="0" applyAlignment="1" applyBorder="1" applyFont="1" applyNumberFormat="1">
      <alignment shrinkToFit="0" wrapText="1"/>
    </xf>
    <xf borderId="0" fillId="0" fontId="5" numFmtId="37" xfId="0" applyAlignment="1" applyFont="1" applyNumberFormat="1">
      <alignment vertical="center"/>
    </xf>
    <xf borderId="0" fillId="2" fontId="5" numFmtId="3" xfId="0" applyAlignment="1" applyFont="1" applyNumberFormat="1">
      <alignment vertical="center"/>
    </xf>
    <xf borderId="37" fillId="2" fontId="25" numFmtId="166" xfId="0" applyAlignment="1" applyBorder="1" applyFont="1" applyNumberFormat="1">
      <alignment horizontal="center" shrinkToFit="0" vertical="center" wrapText="1"/>
    </xf>
    <xf borderId="38" fillId="0" fontId="1" numFmtId="0" xfId="0" applyBorder="1" applyFont="1"/>
    <xf borderId="39" fillId="0" fontId="1" numFmtId="0" xfId="0" applyBorder="1" applyFont="1"/>
    <xf borderId="40" fillId="2" fontId="4" numFmtId="0" xfId="0" applyAlignment="1" applyBorder="1" applyFont="1">
      <alignment horizontal="center" shrinkToFit="0" vertical="center" wrapText="1"/>
    </xf>
    <xf borderId="4" fillId="2" fontId="26" numFmtId="0" xfId="0" applyAlignment="1" applyBorder="1" applyFont="1">
      <alignment horizontal="center" shrinkToFit="0" wrapText="1"/>
    </xf>
    <xf borderId="41" fillId="0" fontId="1" numFmtId="0" xfId="0" applyBorder="1" applyFont="1"/>
    <xf borderId="42" fillId="0" fontId="1" numFmtId="0" xfId="0" applyBorder="1" applyFont="1"/>
    <xf borderId="0" fillId="0" fontId="10" numFmtId="0" xfId="0" applyAlignment="1" applyFont="1">
      <alignment vertical="bottom"/>
    </xf>
    <xf borderId="43" fillId="0" fontId="1" numFmtId="0" xfId="0" applyBorder="1" applyFont="1"/>
    <xf borderId="37" fillId="2" fontId="4" numFmtId="166" xfId="0" applyAlignment="1" applyBorder="1" applyFont="1" applyNumberFormat="1">
      <alignment horizontal="center" shrinkToFit="0" vertical="center" wrapText="1"/>
    </xf>
    <xf borderId="40" fillId="2" fontId="4" numFmtId="166" xfId="0" applyAlignment="1" applyBorder="1" applyFont="1" applyNumberFormat="1">
      <alignment horizontal="center" shrinkToFit="0" vertical="center" wrapText="1"/>
    </xf>
    <xf borderId="0" fillId="3" fontId="27" numFmtId="3" xfId="0" applyAlignment="1" applyFont="1" applyNumberFormat="1">
      <alignment horizontal="center" shrinkToFit="0" wrapText="1"/>
    </xf>
    <xf borderId="37" fillId="2" fontId="28" numFmtId="0" xfId="0" applyAlignment="1" applyBorder="1" applyFont="1">
      <alignment horizontal="center" readingOrder="0" shrinkToFit="0" vertical="center" wrapText="1"/>
    </xf>
    <xf borderId="17" fillId="3" fontId="27" numFmtId="0" xfId="0" applyAlignment="1" applyBorder="1" applyFont="1">
      <alignment shrinkToFit="0" wrapText="1"/>
    </xf>
    <xf borderId="15" fillId="3" fontId="9" numFmtId="0" xfId="0" applyAlignment="1" applyBorder="1" applyFont="1">
      <alignment horizontal="center" shrinkToFit="0" wrapText="1"/>
    </xf>
    <xf borderId="44" fillId="0" fontId="1" numFmtId="0" xfId="0" applyBorder="1" applyFont="1"/>
    <xf borderId="15" fillId="0" fontId="10" numFmtId="0" xfId="0" applyAlignment="1" applyBorder="1" applyFont="1">
      <alignment vertical="bottom"/>
    </xf>
    <xf borderId="9" fillId="2" fontId="4" numFmtId="37" xfId="0" applyAlignment="1" applyBorder="1" applyFont="1" applyNumberFormat="1">
      <alignment horizontal="center" shrinkToFit="0" vertical="center" wrapText="1"/>
    </xf>
    <xf borderId="9" fillId="2" fontId="4" numFmtId="166" xfId="0" applyAlignment="1" applyBorder="1" applyFont="1" applyNumberFormat="1">
      <alignment horizontal="center" shrinkToFit="0" vertical="center" wrapText="1"/>
    </xf>
    <xf borderId="0" fillId="3" fontId="2" numFmtId="3" xfId="0" applyAlignment="1" applyFont="1" applyNumberFormat="1">
      <alignment horizontal="center" shrinkToFit="0" wrapText="1"/>
    </xf>
    <xf borderId="0" fillId="3" fontId="2" numFmtId="3" xfId="0" applyAlignment="1" applyFont="1" applyNumberFormat="1">
      <alignment horizontal="center" shrinkToFit="0" vertical="center" wrapText="1"/>
    </xf>
    <xf borderId="8" fillId="3" fontId="2" numFmtId="0" xfId="0" applyAlignment="1" applyBorder="1" applyFont="1">
      <alignment shrinkToFit="0" wrapText="1"/>
    </xf>
    <xf borderId="0" fillId="3" fontId="2" numFmtId="166" xfId="0" applyAlignment="1" applyFont="1" applyNumberFormat="1">
      <alignment shrinkToFit="0" vertical="center" wrapText="1"/>
    </xf>
    <xf borderId="0" fillId="4" fontId="5" numFmtId="37" xfId="0" applyAlignment="1" applyFont="1" applyNumberFormat="1">
      <alignment vertical="center"/>
    </xf>
    <xf borderId="0" fillId="4" fontId="5" numFmtId="166" xfId="0" applyAlignment="1" applyFont="1" applyNumberFormat="1">
      <alignment vertical="center"/>
    </xf>
    <xf borderId="0" fillId="2" fontId="5" numFmtId="3" xfId="0" applyAlignment="1" applyFont="1" applyNumberFormat="1">
      <alignment horizontal="center" shrinkToFit="0" wrapText="1"/>
    </xf>
    <xf borderId="2" fillId="3" fontId="2" numFmtId="3" xfId="0" applyAlignment="1" applyBorder="1" applyFont="1" applyNumberFormat="1">
      <alignment horizontal="center" shrinkToFit="0" vertical="center" wrapText="1"/>
    </xf>
    <xf borderId="15" fillId="3" fontId="2" numFmtId="166" xfId="0" applyAlignment="1" applyBorder="1" applyFont="1" applyNumberFormat="1">
      <alignment shrinkToFit="0" vertical="center" wrapText="1"/>
    </xf>
    <xf borderId="16" fillId="4" fontId="5" numFmtId="37" xfId="0" applyAlignment="1" applyBorder="1" applyFont="1" applyNumberFormat="1">
      <alignment vertical="center"/>
    </xf>
    <xf borderId="16" fillId="4" fontId="5" numFmtId="166" xfId="0" applyAlignment="1" applyBorder="1" applyFont="1" applyNumberFormat="1">
      <alignment vertical="center"/>
    </xf>
    <xf borderId="18" fillId="3" fontId="5" numFmtId="0" xfId="0" applyAlignment="1" applyBorder="1" applyFont="1">
      <alignment vertical="center"/>
    </xf>
    <xf borderId="16" fillId="3" fontId="5" numFmtId="0" xfId="0" applyAlignment="1" applyBorder="1" applyFont="1">
      <alignment vertical="center"/>
    </xf>
    <xf borderId="16" fillId="3" fontId="2" numFmtId="166" xfId="0" applyAlignment="1" applyBorder="1" applyFont="1" applyNumberFormat="1">
      <alignment shrinkToFit="0" vertical="center" wrapText="1"/>
    </xf>
    <xf borderId="15" fillId="0" fontId="5" numFmtId="0" xfId="0" applyAlignment="1" applyBorder="1" applyFont="1">
      <alignment vertical="bottom"/>
    </xf>
    <xf borderId="18" fillId="3" fontId="5" numFmtId="37" xfId="0" applyAlignment="1" applyBorder="1" applyFont="1" applyNumberFormat="1">
      <alignment vertical="center"/>
    </xf>
    <xf borderId="16" fillId="3" fontId="5" numFmtId="166" xfId="0" applyAlignment="1" applyBorder="1" applyFont="1" applyNumberFormat="1">
      <alignment vertical="center"/>
    </xf>
    <xf borderId="16" fillId="3" fontId="5" numFmtId="37" xfId="0" applyAlignment="1" applyBorder="1" applyFont="1" applyNumberFormat="1">
      <alignment vertical="center"/>
    </xf>
    <xf borderId="27" fillId="0" fontId="5" numFmtId="0" xfId="0" applyAlignment="1" applyBorder="1" applyFont="1">
      <alignment vertical="bottom"/>
    </xf>
    <xf borderId="1" fillId="3" fontId="2" numFmtId="166" xfId="0" applyAlignment="1" applyBorder="1" applyFont="1" applyNumberFormat="1">
      <alignment shrinkToFit="0" vertical="center" wrapText="1"/>
    </xf>
    <xf borderId="5" fillId="0" fontId="3" numFmtId="37" xfId="0" applyBorder="1" applyFont="1" applyNumberFormat="1"/>
    <xf borderId="10" fillId="3" fontId="5" numFmtId="37" xfId="0" applyAlignment="1" applyBorder="1" applyFont="1" applyNumberFormat="1">
      <alignment vertical="center"/>
    </xf>
    <xf borderId="7" fillId="3" fontId="5" numFmtId="166" xfId="0" applyAlignment="1" applyBorder="1" applyFont="1" applyNumberFormat="1">
      <alignment vertical="center"/>
    </xf>
    <xf borderId="7" fillId="3" fontId="5" numFmtId="37" xfId="0" applyAlignment="1" applyBorder="1" applyFont="1" applyNumberFormat="1">
      <alignment vertical="center"/>
    </xf>
    <xf borderId="1" fillId="0" fontId="5" numFmtId="37" xfId="0" applyAlignment="1" applyBorder="1" applyFont="1" applyNumberFormat="1">
      <alignment shrinkToFit="0" wrapText="1"/>
    </xf>
    <xf borderId="10" fillId="3" fontId="5" numFmtId="0" xfId="0" applyAlignment="1" applyBorder="1" applyFont="1">
      <alignment vertical="center"/>
    </xf>
    <xf borderId="7" fillId="3" fontId="5" numFmtId="0" xfId="0" applyAlignment="1" applyBorder="1" applyFont="1">
      <alignment vertical="center"/>
    </xf>
    <xf borderId="7" fillId="0" fontId="3" numFmtId="0" xfId="0" applyBorder="1" applyFont="1"/>
    <xf borderId="2" fillId="2" fontId="5" numFmtId="3" xfId="0" applyAlignment="1" applyBorder="1" applyFont="1" applyNumberFormat="1">
      <alignment horizontal="center" shrinkToFit="0" vertical="center" wrapText="1"/>
    </xf>
    <xf borderId="8" fillId="2" fontId="4" numFmtId="37" xfId="0" applyAlignment="1" applyBorder="1" applyFont="1" applyNumberFormat="1">
      <alignment shrinkToFit="0" wrapText="1"/>
    </xf>
    <xf borderId="1" fillId="2" fontId="4" numFmtId="166" xfId="0" applyAlignment="1" applyBorder="1" applyFont="1" applyNumberFormat="1">
      <alignment shrinkToFit="0" vertical="center" wrapText="1"/>
    </xf>
    <xf borderId="10" fillId="2" fontId="3" numFmtId="37" xfId="0" applyAlignment="1" applyBorder="1" applyFont="1" applyNumberFormat="1">
      <alignment vertical="bottom"/>
    </xf>
    <xf borderId="10" fillId="2" fontId="5" numFmtId="37" xfId="0" applyAlignment="1" applyBorder="1" applyFont="1" applyNumberFormat="1">
      <alignment vertical="center"/>
    </xf>
    <xf borderId="7" fillId="2" fontId="5" numFmtId="166" xfId="0" applyAlignment="1" applyBorder="1" applyFont="1" applyNumberFormat="1">
      <alignment vertical="center"/>
    </xf>
    <xf borderId="7" fillId="2" fontId="5" numFmtId="37" xfId="0" applyAlignment="1" applyBorder="1" applyFont="1" applyNumberFormat="1">
      <alignment vertical="center"/>
    </xf>
    <xf borderId="10" fillId="2" fontId="3" numFmtId="0" xfId="0" applyAlignment="1" applyBorder="1" applyFont="1">
      <alignment vertical="bottom"/>
    </xf>
    <xf borderId="7" fillId="2" fontId="3" numFmtId="0" xfId="0" applyAlignment="1" applyBorder="1" applyFont="1">
      <alignment vertical="bottom"/>
    </xf>
    <xf borderId="10" fillId="2" fontId="5" numFmtId="0" xfId="0" applyAlignment="1" applyBorder="1" applyFont="1">
      <alignment vertical="center"/>
    </xf>
    <xf borderId="7" fillId="2" fontId="5" numFmtId="0" xfId="0" applyAlignment="1" applyBorder="1" applyFont="1">
      <alignment vertical="center"/>
    </xf>
    <xf borderId="19" fillId="2" fontId="4" numFmtId="0" xfId="0" applyAlignment="1" applyBorder="1" applyFont="1">
      <alignment horizontal="center" shrinkToFit="0" wrapText="1"/>
    </xf>
    <xf borderId="5" fillId="2" fontId="5" numFmtId="3" xfId="0" applyAlignment="1" applyBorder="1" applyFont="1" applyNumberFormat="1">
      <alignment vertical="center"/>
    </xf>
    <xf borderId="0" fillId="2" fontId="9" numFmtId="0" xfId="0" applyAlignment="1" applyFont="1">
      <alignment horizontal="center" shrinkToFit="0" vertical="center" wrapText="1"/>
    </xf>
    <xf borderId="9" fillId="2" fontId="29" numFmtId="49" xfId="0" applyAlignment="1" applyBorder="1" applyFont="1" applyNumberFormat="1">
      <alignment horizontal="center" readingOrder="0" shrinkToFit="0" vertical="center" wrapText="1"/>
    </xf>
    <xf borderId="40" fillId="2" fontId="4" numFmtId="37" xfId="0" applyAlignment="1" applyBorder="1" applyFont="1" applyNumberFormat="1">
      <alignment horizontal="center" shrinkToFit="0" vertical="center" wrapText="1"/>
    </xf>
    <xf borderId="45" fillId="0" fontId="1" numFmtId="0" xfId="0" applyBorder="1" applyFont="1"/>
    <xf borderId="9" fillId="2" fontId="4" numFmtId="0" xfId="0" applyAlignment="1" applyBorder="1" applyFont="1">
      <alignment horizontal="center" shrinkToFit="0" vertical="center" wrapText="1"/>
    </xf>
    <xf borderId="9" fillId="2" fontId="9" numFmtId="166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shrinkToFit="0" wrapText="1"/>
    </xf>
    <xf borderId="5" fillId="0" fontId="5" numFmtId="37" xfId="0" applyAlignment="1" applyBorder="1" applyFont="1" applyNumberFormat="1">
      <alignment shrinkToFit="0" wrapText="1"/>
    </xf>
    <xf borderId="40" fillId="2" fontId="4" numFmtId="37" xfId="0" applyAlignment="1" applyBorder="1" applyFont="1" applyNumberFormat="1">
      <alignment horizontal="center" readingOrder="0" shrinkToFit="0" vertical="center" wrapText="1"/>
    </xf>
    <xf borderId="0" fillId="3" fontId="5" numFmtId="3" xfId="0" applyAlignment="1" applyFont="1" applyNumberFormat="1">
      <alignment horizontal="center"/>
    </xf>
    <xf borderId="17" fillId="3" fontId="5" numFmtId="37" xfId="0" applyBorder="1" applyFont="1" applyNumberFormat="1"/>
    <xf borderId="0" fillId="3" fontId="5" numFmtId="3" xfId="0" applyAlignment="1" applyFont="1" applyNumberFormat="1">
      <alignment horizontal="center" vertical="center"/>
    </xf>
    <xf borderId="16" fillId="3" fontId="5" numFmtId="49" xfId="0" applyAlignment="1" applyBorder="1" applyFont="1" applyNumberFormat="1">
      <alignment vertical="center"/>
    </xf>
    <xf borderId="16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15" fillId="3" fontId="5" numFmtId="37" xfId="0" applyAlignment="1" applyBorder="1" applyFont="1" applyNumberFormat="1">
      <alignment vertical="center"/>
    </xf>
    <xf borderId="15" fillId="0" fontId="5" numFmtId="49" xfId="0" applyAlignment="1" applyBorder="1" applyFont="1" applyNumberFormat="1">
      <alignment shrinkToFit="0" wrapText="1"/>
    </xf>
    <xf borderId="5" fillId="0" fontId="3" numFmtId="49" xfId="0" applyBorder="1" applyFont="1" applyNumberFormat="1"/>
    <xf borderId="7" fillId="3" fontId="5" numFmtId="49" xfId="0" applyAlignment="1" applyBorder="1" applyFont="1" applyNumberFormat="1">
      <alignment vertical="center"/>
    </xf>
    <xf borderId="17" fillId="3" fontId="5" numFmtId="49" xfId="0" applyBorder="1" applyFont="1" applyNumberFormat="1"/>
    <xf borderId="1" fillId="3" fontId="5" numFmtId="37" xfId="0" applyAlignment="1" applyBorder="1" applyFont="1" applyNumberFormat="1">
      <alignment vertical="center"/>
    </xf>
    <xf borderId="5" fillId="0" fontId="3" numFmtId="166" xfId="0" applyBorder="1" applyFont="1" applyNumberFormat="1"/>
    <xf borderId="2" fillId="3" fontId="5" numFmtId="3" xfId="0" applyAlignment="1" applyBorder="1" applyFont="1" applyNumberFormat="1">
      <alignment vertical="center"/>
    </xf>
    <xf borderId="10" fillId="0" fontId="5" numFmtId="37" xfId="0" applyAlignment="1" applyBorder="1" applyFont="1" applyNumberFormat="1">
      <alignment vertical="center"/>
    </xf>
    <xf borderId="15" fillId="0" fontId="5" numFmtId="166" xfId="0" applyAlignment="1" applyBorder="1" applyFont="1" applyNumberFormat="1">
      <alignment shrinkToFit="0" wrapText="1"/>
    </xf>
    <xf borderId="2" fillId="2" fontId="2" numFmtId="3" xfId="0" applyAlignment="1" applyBorder="1" applyFont="1" applyNumberFormat="1">
      <alignment horizontal="center" shrinkToFit="0" vertical="center" wrapText="1"/>
    </xf>
    <xf borderId="1" fillId="2" fontId="9" numFmtId="37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vertical="center"/>
    </xf>
    <xf borderId="0" fillId="2" fontId="30" numFmtId="0" xfId="0" applyAlignment="1" applyFont="1">
      <alignment horizontal="center" shrinkToFit="0" vertical="center" wrapText="1"/>
    </xf>
    <xf borderId="0" fillId="2" fontId="3" numFmtId="3" xfId="0" applyAlignment="1" applyFont="1" applyNumberFormat="1">
      <alignment horizontal="center"/>
    </xf>
    <xf borderId="8" fillId="2" fontId="3" numFmtId="0" xfId="0" applyBorder="1" applyFont="1"/>
    <xf borderId="0" fillId="0" fontId="5" numFmtId="3" xfId="0" applyAlignment="1" applyFont="1" applyNumberFormat="1">
      <alignment horizontal="center" shrinkToFit="0" vertical="bottom" wrapText="1"/>
    </xf>
    <xf borderId="1" fillId="0" fontId="5" numFmtId="49" xfId="0" applyAlignment="1" applyBorder="1" applyFont="1" applyNumberFormat="1">
      <alignment shrinkToFit="0" vertical="bottom" wrapText="1"/>
    </xf>
    <xf borderId="2" fillId="3" fontId="27" numFmtId="3" xfId="0" applyAlignment="1" applyBorder="1" applyFont="1" applyNumberFormat="1">
      <alignment horizontal="center" shrinkToFit="0" vertical="center" wrapText="1"/>
    </xf>
    <xf borderId="15" fillId="3" fontId="31" numFmtId="0" xfId="0" applyAlignment="1" applyBorder="1" applyFont="1">
      <alignment readingOrder="0" shrinkToFit="0" vertical="center" wrapText="1"/>
    </xf>
    <xf borderId="15" fillId="3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vertical="center" wrapText="1"/>
    </xf>
    <xf borderId="8" fillId="3" fontId="9" numFmtId="0" xfId="0" applyAlignment="1" applyBorder="1" applyFont="1">
      <alignment shrinkToFit="0" wrapText="1"/>
    </xf>
    <xf borderId="0" fillId="0" fontId="5" numFmtId="3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3" xfId="0" applyAlignment="1" applyFont="1" applyNumberFormat="1">
      <alignment horizontal="center" vertical="center"/>
    </xf>
    <xf borderId="0" fillId="0" fontId="5" numFmtId="49" xfId="0" applyAlignment="1" applyFont="1" applyNumberFormat="1">
      <alignment shrinkToFit="0" wrapText="1"/>
    </xf>
    <xf borderId="27" fillId="0" fontId="5" numFmtId="0" xfId="0" applyAlignment="1" applyBorder="1" applyFont="1">
      <alignment vertical="center"/>
    </xf>
    <xf borderId="0" fillId="0" fontId="2" numFmtId="3" xfId="0" applyAlignment="1" applyFont="1" applyNumberForma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1" fillId="0" fontId="5" numFmtId="37" xfId="0" applyAlignment="1" applyBorder="1" applyFont="1" applyNumberFormat="1">
      <alignment shrinkToFit="0" vertical="center" wrapText="1"/>
    </xf>
    <xf borderId="7" fillId="0" fontId="5" numFmtId="0" xfId="0" applyAlignment="1" applyBorder="1" applyFont="1">
      <alignment vertical="center"/>
    </xf>
    <xf borderId="1" fillId="2" fontId="4" numFmtId="37" xfId="0" applyAlignment="1" applyBorder="1" applyFont="1" applyNumberFormat="1">
      <alignment shrinkToFit="0" vertical="center" wrapText="1"/>
    </xf>
    <xf borderId="13" fillId="2" fontId="4" numFmtId="37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5" numFmtId="37" xfId="0" applyAlignment="1" applyBorder="1" applyFont="1" applyNumberFormat="1">
      <alignment vertical="center"/>
    </xf>
    <xf borderId="46" fillId="0" fontId="5" numFmtId="37" xfId="0" applyAlignment="1" applyBorder="1" applyFont="1" applyNumberFormat="1">
      <alignment vertical="center"/>
    </xf>
    <xf borderId="46" fillId="0" fontId="5" numFmtId="0" xfId="0" applyAlignment="1" applyBorder="1" applyFont="1">
      <alignment vertical="center"/>
    </xf>
    <xf borderId="15" fillId="0" fontId="5" numFmtId="49" xfId="0" applyAlignment="1" applyBorder="1" applyFont="1" applyNumberFormat="1">
      <alignment shrinkToFit="0" vertical="center" wrapText="1"/>
    </xf>
    <xf borderId="5" fillId="0" fontId="5" numFmtId="49" xfId="0" applyAlignment="1" applyBorder="1" applyFont="1" applyNumberFormat="1">
      <alignment vertical="center"/>
    </xf>
    <xf borderId="15" fillId="3" fontId="5" numFmtId="49" xfId="0" applyAlignment="1" applyBorder="1" applyFont="1" applyNumberFormat="1">
      <alignment vertical="center"/>
    </xf>
    <xf borderId="46" fillId="0" fontId="5" numFmtId="49" xfId="0" applyAlignment="1" applyBorder="1" applyFont="1" applyNumberFormat="1">
      <alignment vertical="center"/>
    </xf>
    <xf borderId="15" fillId="0" fontId="5" numFmtId="166" xfId="0" applyAlignment="1" applyBorder="1" applyFont="1" applyNumberFormat="1">
      <alignment shrinkToFit="0" vertical="center" wrapText="1"/>
    </xf>
    <xf borderId="47" fillId="0" fontId="5" numFmtId="0" xfId="0" applyAlignment="1" applyBorder="1" applyFont="1">
      <alignment vertical="center"/>
    </xf>
    <xf borderId="2" fillId="0" fontId="5" numFmtId="3" xfId="0" applyAlignment="1" applyBorder="1" applyFont="1" applyNumberFormat="1">
      <alignment horizontal="center" shrinkToFit="0" vertical="center" wrapText="1"/>
    </xf>
    <xf borderId="13" fillId="2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shrinkToFit="0" vertical="center" wrapText="1"/>
    </xf>
    <xf borderId="7" fillId="2" fontId="5" numFmtId="0" xfId="0" applyAlignment="1" applyBorder="1" applyFont="1">
      <alignment horizontal="right" vertical="center"/>
    </xf>
    <xf borderId="0" fillId="0" fontId="5" numFmtId="0" xfId="0" applyAlignment="1" applyFont="1">
      <alignment readingOrder="0" shrinkToFit="0" vertical="center" wrapText="1"/>
    </xf>
    <xf borderId="0" fillId="0" fontId="5" numFmtId="49" xfId="0" applyAlignment="1" applyFont="1" applyNumberFormat="1">
      <alignment shrinkToFit="0" vertical="center" wrapText="1"/>
    </xf>
    <xf borderId="0" fillId="0" fontId="32" numFmtId="0" xfId="0" applyAlignment="1" applyFont="1">
      <alignment readingOrder="0" shrinkToFit="0" vertical="center" wrapText="1"/>
    </xf>
    <xf borderId="0" fillId="0" fontId="10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29"/>
    <col customWidth="1" min="2" max="2" width="25.71"/>
    <col customWidth="1" min="7" max="7" width="25.0"/>
  </cols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>
      <c r="A2" s="6"/>
      <c r="B2" s="9" t="s">
        <v>100</v>
      </c>
      <c r="L2" s="4"/>
      <c r="M2" s="4"/>
      <c r="N2" s="4"/>
      <c r="O2" s="4"/>
      <c r="P2" s="4"/>
    </row>
    <row r="3">
      <c r="A3" s="6"/>
      <c r="B3" s="9" t="s">
        <v>105</v>
      </c>
      <c r="M3" s="4"/>
      <c r="N3" s="4"/>
      <c r="O3" s="4"/>
      <c r="P3" s="4"/>
    </row>
    <row r="4">
      <c r="A4" s="6"/>
      <c r="B4" s="6" t="s">
        <v>106</v>
      </c>
      <c r="L4" s="4"/>
      <c r="M4" s="4"/>
      <c r="N4" s="4"/>
      <c r="O4" s="4"/>
      <c r="P4" s="4"/>
    </row>
    <row r="5">
      <c r="A5" s="6"/>
      <c r="B5" s="6" t="s">
        <v>108</v>
      </c>
      <c r="L5" s="4"/>
      <c r="M5" s="4"/>
      <c r="N5" s="4"/>
      <c r="O5" s="4"/>
      <c r="P5" s="4"/>
    </row>
    <row r="6">
      <c r="A6" s="6"/>
      <c r="B6" s="9" t="s">
        <v>109</v>
      </c>
      <c r="L6" s="4"/>
      <c r="M6" s="4"/>
      <c r="N6" s="4"/>
      <c r="O6" s="4"/>
      <c r="P6" s="4"/>
    </row>
    <row r="7">
      <c r="A7" s="11"/>
      <c r="B7" s="11"/>
      <c r="L7" s="4"/>
      <c r="M7" s="4"/>
      <c r="N7" s="4"/>
      <c r="O7" s="4"/>
      <c r="P7" s="4"/>
    </row>
    <row r="8">
      <c r="A8" s="12"/>
      <c r="B8" s="14" t="s">
        <v>111</v>
      </c>
      <c r="C8" s="15"/>
      <c r="D8" s="15"/>
      <c r="E8" s="15"/>
      <c r="F8" s="15"/>
      <c r="G8" s="15"/>
      <c r="H8" s="15"/>
      <c r="I8" s="15"/>
      <c r="J8" s="15"/>
      <c r="K8" s="17"/>
      <c r="L8" s="19"/>
      <c r="M8" s="19"/>
      <c r="N8" s="19"/>
      <c r="O8" s="21"/>
      <c r="P8" s="24">
        <v>1.0</v>
      </c>
    </row>
    <row r="9">
      <c r="A9" s="25"/>
      <c r="B9" s="27" t="s">
        <v>112</v>
      </c>
      <c r="C9" s="29"/>
      <c r="D9" s="29"/>
      <c r="E9" s="29"/>
      <c r="F9" s="29"/>
      <c r="G9" s="31"/>
      <c r="H9" s="33" t="s">
        <v>113</v>
      </c>
      <c r="I9" s="31"/>
      <c r="J9" s="33" t="s">
        <v>114</v>
      </c>
      <c r="K9" s="31"/>
      <c r="L9" s="33" t="s">
        <v>115</v>
      </c>
      <c r="M9" s="29"/>
      <c r="N9" s="29"/>
      <c r="O9" s="29"/>
      <c r="P9" s="31"/>
    </row>
    <row r="10">
      <c r="A10" s="25"/>
      <c r="G10" s="30"/>
      <c r="I10" s="30"/>
      <c r="K10" s="30"/>
      <c r="L10" s="15"/>
      <c r="M10" s="15"/>
      <c r="N10" s="15"/>
      <c r="O10" s="15"/>
      <c r="P10" s="35"/>
    </row>
    <row r="11">
      <c r="A11" s="25"/>
      <c r="G11" s="30"/>
      <c r="I11" s="30"/>
      <c r="K11" s="30"/>
      <c r="L11" s="37" t="s">
        <v>116</v>
      </c>
      <c r="N11" s="30"/>
      <c r="O11" s="39" t="s">
        <v>117</v>
      </c>
      <c r="P11" s="30"/>
    </row>
    <row r="12">
      <c r="A12" s="25"/>
      <c r="B12" s="15"/>
      <c r="C12" s="15"/>
      <c r="D12" s="15"/>
      <c r="E12" s="15"/>
      <c r="F12" s="15"/>
      <c r="G12" s="35"/>
      <c r="H12" s="15"/>
      <c r="I12" s="35"/>
      <c r="J12" s="15"/>
      <c r="K12" s="35"/>
      <c r="L12" s="15"/>
      <c r="M12" s="15"/>
      <c r="N12" s="35"/>
      <c r="O12" s="15"/>
      <c r="P12" s="35"/>
    </row>
    <row r="13">
      <c r="A13" s="41"/>
      <c r="B13" s="43" t="s">
        <v>119</v>
      </c>
      <c r="C13" s="46"/>
      <c r="D13" s="46"/>
      <c r="E13" s="46"/>
      <c r="F13" s="46"/>
      <c r="G13" s="48"/>
      <c r="H13" s="50"/>
      <c r="I13" s="30"/>
      <c r="J13" s="52"/>
      <c r="K13" s="30"/>
      <c r="L13" s="53"/>
      <c r="N13" s="30"/>
      <c r="O13" s="52"/>
      <c r="P13" s="30"/>
    </row>
    <row r="14">
      <c r="A14" s="41"/>
      <c r="B14" s="46"/>
      <c r="G14" s="30"/>
      <c r="H14" s="54" t="s">
        <v>5</v>
      </c>
      <c r="I14" s="30"/>
      <c r="J14" s="54" t="s">
        <v>6</v>
      </c>
      <c r="K14" s="30"/>
      <c r="L14" s="54" t="s">
        <v>7</v>
      </c>
      <c r="N14" s="30"/>
      <c r="O14" s="52"/>
      <c r="P14" s="30"/>
    </row>
    <row r="15">
      <c r="A15" s="55">
        <v>1.0</v>
      </c>
      <c r="B15" s="56" t="s">
        <v>4</v>
      </c>
      <c r="G15" s="30"/>
      <c r="H15" s="58">
        <f>H16+H19+H22+H25</f>
        <v>0</v>
      </c>
      <c r="I15" s="30"/>
      <c r="J15" s="58">
        <f>J16+J19+J22+J25</f>
        <v>0</v>
      </c>
      <c r="K15" s="30"/>
      <c r="L15" s="58">
        <f>L16+L19+L22+L25</f>
        <v>0</v>
      </c>
      <c r="N15" s="30"/>
      <c r="O15" s="61">
        <f t="shared" ref="O15:O35" si="1">IF(J15&gt;0,(L15/J15)*100,0)</f>
        <v>0</v>
      </c>
      <c r="P15" s="30"/>
    </row>
    <row r="16">
      <c r="A16" s="41">
        <v>2.0</v>
      </c>
      <c r="B16" s="62" t="s">
        <v>120</v>
      </c>
      <c r="G16" s="30"/>
      <c r="H16" s="63">
        <f>(H17+H18)</f>
        <v>0</v>
      </c>
      <c r="I16" s="30"/>
      <c r="J16" s="63">
        <f>(J17+J18)</f>
        <v>0</v>
      </c>
      <c r="K16" s="30"/>
      <c r="L16" s="63">
        <f>(L17+L18)</f>
        <v>0</v>
      </c>
      <c r="N16" s="30"/>
      <c r="O16" s="63">
        <f t="shared" si="1"/>
        <v>0</v>
      </c>
      <c r="P16" s="30"/>
    </row>
    <row r="17">
      <c r="A17" s="68">
        <v>3.0</v>
      </c>
      <c r="B17" s="69" t="s">
        <v>121</v>
      </c>
      <c r="G17" s="30"/>
      <c r="H17" s="63"/>
      <c r="I17" s="30"/>
      <c r="J17" s="63"/>
      <c r="K17" s="30"/>
      <c r="L17" s="63"/>
      <c r="N17" s="30"/>
      <c r="O17" s="63">
        <f t="shared" si="1"/>
        <v>0</v>
      </c>
      <c r="P17" s="30"/>
    </row>
    <row r="18">
      <c r="A18" s="41">
        <v>4.0</v>
      </c>
      <c r="B18" s="69" t="s">
        <v>122</v>
      </c>
      <c r="G18" s="30"/>
      <c r="H18" s="63"/>
      <c r="I18" s="30"/>
      <c r="J18" s="63"/>
      <c r="K18" s="30"/>
      <c r="L18" s="63"/>
      <c r="N18" s="30"/>
      <c r="O18" s="63">
        <f t="shared" si="1"/>
        <v>0</v>
      </c>
      <c r="P18" s="30"/>
    </row>
    <row r="19">
      <c r="A19" s="41">
        <v>5.0</v>
      </c>
      <c r="B19" s="72" t="s">
        <v>123</v>
      </c>
      <c r="G19" s="30"/>
      <c r="H19" s="63">
        <f>H20+H21</f>
        <v>0</v>
      </c>
      <c r="I19" s="30"/>
      <c r="J19" s="63">
        <f>J20+J21</f>
        <v>0</v>
      </c>
      <c r="K19" s="30"/>
      <c r="L19" s="63">
        <f>L20+L21</f>
        <v>0</v>
      </c>
      <c r="N19" s="30"/>
      <c r="O19" s="63">
        <f t="shared" si="1"/>
        <v>0</v>
      </c>
      <c r="P19" s="30"/>
    </row>
    <row r="20">
      <c r="A20" s="68">
        <v>6.0</v>
      </c>
      <c r="B20" s="72" t="s">
        <v>124</v>
      </c>
      <c r="G20" s="30"/>
      <c r="H20" s="63"/>
      <c r="I20" s="30"/>
      <c r="J20" s="63"/>
      <c r="K20" s="30"/>
      <c r="L20" s="63"/>
      <c r="N20" s="30"/>
      <c r="O20" s="63">
        <f t="shared" si="1"/>
        <v>0</v>
      </c>
      <c r="P20" s="30"/>
    </row>
    <row r="21">
      <c r="A21" s="41">
        <v>7.0</v>
      </c>
      <c r="B21" s="72" t="s">
        <v>125</v>
      </c>
      <c r="G21" s="30"/>
      <c r="H21" s="63"/>
      <c r="I21" s="30"/>
      <c r="J21" s="63"/>
      <c r="K21" s="30"/>
      <c r="L21" s="63"/>
      <c r="N21" s="30"/>
      <c r="O21" s="63">
        <f t="shared" si="1"/>
        <v>0</v>
      </c>
      <c r="P21" s="30"/>
    </row>
    <row r="22">
      <c r="A22" s="41">
        <v>8.0</v>
      </c>
      <c r="B22" s="74" t="s">
        <v>126</v>
      </c>
      <c r="G22" s="30"/>
      <c r="H22" s="63">
        <f>(H23+H24)</f>
        <v>0</v>
      </c>
      <c r="I22" s="30"/>
      <c r="J22" s="63">
        <f>(J23+J24)</f>
        <v>0</v>
      </c>
      <c r="K22" s="30"/>
      <c r="L22" s="63">
        <f>(L23+L24)</f>
        <v>0</v>
      </c>
      <c r="N22" s="30"/>
      <c r="O22" s="63">
        <f t="shared" si="1"/>
        <v>0</v>
      </c>
      <c r="P22" s="30"/>
    </row>
    <row r="23">
      <c r="A23" s="68">
        <v>9.0</v>
      </c>
      <c r="B23" s="74" t="s">
        <v>127</v>
      </c>
      <c r="G23" s="30"/>
      <c r="H23" s="63"/>
      <c r="I23" s="30"/>
      <c r="J23" s="63"/>
      <c r="K23" s="30"/>
      <c r="L23" s="63"/>
      <c r="N23" s="30"/>
      <c r="O23" s="63">
        <f t="shared" si="1"/>
        <v>0</v>
      </c>
      <c r="P23" s="30"/>
    </row>
    <row r="24">
      <c r="A24" s="41">
        <v>10.0</v>
      </c>
      <c r="B24" s="74" t="s">
        <v>128</v>
      </c>
      <c r="G24" s="30"/>
      <c r="H24" s="63"/>
      <c r="I24" s="30"/>
      <c r="J24" s="63"/>
      <c r="K24" s="30"/>
      <c r="L24" s="63"/>
      <c r="N24" s="30"/>
      <c r="O24" s="63">
        <f t="shared" si="1"/>
        <v>0</v>
      </c>
      <c r="P24" s="30"/>
    </row>
    <row r="25">
      <c r="A25" s="41">
        <v>11.0</v>
      </c>
      <c r="B25" s="74" t="s">
        <v>129</v>
      </c>
      <c r="G25" s="30"/>
      <c r="H25" s="63"/>
      <c r="I25" s="30"/>
      <c r="J25" s="63"/>
      <c r="K25" s="30"/>
      <c r="L25" s="63"/>
      <c r="N25" s="30"/>
      <c r="O25" s="63">
        <f t="shared" si="1"/>
        <v>0</v>
      </c>
      <c r="P25" s="30"/>
    </row>
    <row r="26">
      <c r="A26" s="77">
        <v>12.0</v>
      </c>
      <c r="B26" s="79" t="s">
        <v>18</v>
      </c>
      <c r="G26" s="30"/>
      <c r="H26" s="61">
        <f>sum(H27:I32)</f>
        <v>0</v>
      </c>
      <c r="I26" s="30"/>
      <c r="J26" s="61">
        <f>sum(J27:K32)</f>
        <v>0</v>
      </c>
      <c r="K26" s="30"/>
      <c r="L26" s="61">
        <f>sum(L27:M32)</f>
        <v>0</v>
      </c>
      <c r="N26" s="30"/>
      <c r="O26" s="61">
        <f t="shared" si="1"/>
        <v>0</v>
      </c>
      <c r="P26" s="30"/>
    </row>
    <row r="27">
      <c r="A27" s="41">
        <v>13.0</v>
      </c>
      <c r="B27" s="72" t="s">
        <v>130</v>
      </c>
      <c r="G27" s="30"/>
      <c r="H27" s="63"/>
      <c r="I27" s="30"/>
      <c r="J27" s="63"/>
      <c r="K27" s="30"/>
      <c r="L27" s="63"/>
      <c r="N27" s="30"/>
      <c r="O27" s="63">
        <f t="shared" si="1"/>
        <v>0</v>
      </c>
      <c r="P27" s="30"/>
    </row>
    <row r="28">
      <c r="A28" s="41">
        <v>14.0</v>
      </c>
      <c r="B28" s="74" t="s">
        <v>131</v>
      </c>
      <c r="G28" s="30"/>
      <c r="H28" s="63"/>
      <c r="I28" s="30"/>
      <c r="J28" s="63"/>
      <c r="K28" s="30"/>
      <c r="L28" s="63"/>
      <c r="N28" s="30"/>
      <c r="O28" s="63">
        <f t="shared" si="1"/>
        <v>0</v>
      </c>
      <c r="P28" s="30"/>
    </row>
    <row r="29">
      <c r="A29" s="68">
        <v>15.0</v>
      </c>
      <c r="B29" s="74" t="s">
        <v>132</v>
      </c>
      <c r="G29" s="30"/>
      <c r="H29" s="63"/>
      <c r="I29" s="30"/>
      <c r="J29" s="63"/>
      <c r="K29" s="30"/>
      <c r="L29" s="63"/>
      <c r="N29" s="30"/>
      <c r="O29" s="63">
        <f t="shared" si="1"/>
        <v>0</v>
      </c>
      <c r="P29" s="30"/>
    </row>
    <row r="30">
      <c r="A30" s="41">
        <v>16.0</v>
      </c>
      <c r="B30" s="83" t="s">
        <v>133</v>
      </c>
      <c r="G30" s="30"/>
      <c r="H30" s="63"/>
      <c r="I30" s="30"/>
      <c r="J30" s="63"/>
      <c r="K30" s="30"/>
      <c r="L30" s="63"/>
      <c r="N30" s="30"/>
      <c r="O30" s="63">
        <f t="shared" si="1"/>
        <v>0</v>
      </c>
      <c r="P30" s="30"/>
    </row>
    <row r="31">
      <c r="A31" s="41">
        <v>17.0</v>
      </c>
      <c r="B31" s="83" t="s">
        <v>134</v>
      </c>
      <c r="G31" s="30"/>
      <c r="H31" s="63"/>
      <c r="I31" s="30"/>
      <c r="J31" s="63"/>
      <c r="K31" s="30"/>
      <c r="L31" s="63"/>
      <c r="N31" s="30"/>
      <c r="O31" s="63">
        <f t="shared" si="1"/>
        <v>0</v>
      </c>
      <c r="P31" s="30"/>
    </row>
    <row r="32">
      <c r="A32" s="68">
        <v>18.0</v>
      </c>
      <c r="B32" s="85" t="s">
        <v>135</v>
      </c>
      <c r="G32" s="30"/>
      <c r="H32" s="63">
        <f>(H33+H34)</f>
        <v>0</v>
      </c>
      <c r="I32" s="30"/>
      <c r="J32" s="63">
        <f>(J33+J34)</f>
        <v>0</v>
      </c>
      <c r="K32" s="30"/>
      <c r="L32" s="63">
        <f>(L33+L34)</f>
        <v>0</v>
      </c>
      <c r="N32" s="30"/>
      <c r="O32" s="63">
        <f t="shared" si="1"/>
        <v>0</v>
      </c>
      <c r="P32" s="30"/>
    </row>
    <row r="33">
      <c r="A33" s="41">
        <v>19.0</v>
      </c>
      <c r="B33" s="83" t="s">
        <v>136</v>
      </c>
      <c r="G33" s="30"/>
      <c r="H33" s="63"/>
      <c r="I33" s="30"/>
      <c r="J33" s="63"/>
      <c r="K33" s="30"/>
      <c r="L33" s="63"/>
      <c r="N33" s="30"/>
      <c r="O33" s="63">
        <f t="shared" si="1"/>
        <v>0</v>
      </c>
      <c r="P33" s="30"/>
    </row>
    <row r="34">
      <c r="A34" s="41">
        <v>20.0</v>
      </c>
      <c r="B34" s="89" t="s">
        <v>137</v>
      </c>
      <c r="C34" s="15"/>
      <c r="D34" s="15"/>
      <c r="E34" s="15"/>
      <c r="F34" s="15"/>
      <c r="G34" s="35"/>
      <c r="H34" s="91"/>
      <c r="I34" s="35"/>
      <c r="J34" s="91"/>
      <c r="K34" s="35"/>
      <c r="L34" s="91"/>
      <c r="M34" s="15"/>
      <c r="N34" s="35"/>
      <c r="O34" s="63">
        <f t="shared" si="1"/>
        <v>0</v>
      </c>
      <c r="P34" s="30"/>
    </row>
    <row r="35">
      <c r="A35" s="94">
        <v>21.0</v>
      </c>
      <c r="B35" s="96" t="s">
        <v>27</v>
      </c>
      <c r="C35" s="15"/>
      <c r="D35" s="15"/>
      <c r="E35" s="15"/>
      <c r="F35" s="15"/>
      <c r="G35" s="35"/>
      <c r="H35" s="98">
        <f>(H32+H15)</f>
        <v>0</v>
      </c>
      <c r="I35" s="35"/>
      <c r="J35" s="98">
        <f>(J32+J15)</f>
        <v>0</v>
      </c>
      <c r="K35" s="35"/>
      <c r="L35" s="98">
        <f>(L32+L15)</f>
        <v>0</v>
      </c>
      <c r="M35" s="15"/>
      <c r="N35" s="35"/>
      <c r="O35" s="99">
        <f t="shared" si="1"/>
        <v>0</v>
      </c>
      <c r="P35" s="100"/>
    </row>
    <row r="36">
      <c r="A36" s="11"/>
      <c r="B36" s="103"/>
      <c r="C36" s="103"/>
      <c r="D36" s="105"/>
      <c r="E36" s="105"/>
      <c r="F36" s="106"/>
      <c r="G36" s="106"/>
      <c r="H36" s="105"/>
      <c r="I36" s="108"/>
      <c r="J36" s="105"/>
      <c r="K36" s="108"/>
      <c r="L36" s="105"/>
      <c r="M36" s="108"/>
      <c r="N36" s="108"/>
      <c r="O36" s="106"/>
      <c r="P36" s="106"/>
    </row>
    <row r="37">
      <c r="A37" s="25"/>
      <c r="B37" s="110" t="s">
        <v>138</v>
      </c>
      <c r="G37" s="109"/>
      <c r="H37" s="112" t="s">
        <v>139</v>
      </c>
      <c r="I37" s="114" t="s">
        <v>140</v>
      </c>
      <c r="J37" s="116" t="s">
        <v>141</v>
      </c>
      <c r="K37" s="35"/>
      <c r="L37" s="116" t="s">
        <v>142</v>
      </c>
      <c r="M37" s="35"/>
      <c r="N37" s="118" t="s">
        <v>143</v>
      </c>
      <c r="O37" s="35"/>
      <c r="P37" s="120" t="s">
        <v>144</v>
      </c>
    </row>
    <row r="38" ht="39.75" customHeight="1">
      <c r="A38" s="25"/>
      <c r="B38" s="15"/>
      <c r="C38" s="15"/>
      <c r="D38" s="15"/>
      <c r="E38" s="15"/>
      <c r="F38" s="15"/>
      <c r="G38" s="121"/>
      <c r="H38" s="35"/>
      <c r="I38" s="121"/>
      <c r="J38" s="124" t="s">
        <v>145</v>
      </c>
      <c r="K38" s="126" t="s">
        <v>146</v>
      </c>
      <c r="L38" s="124" t="s">
        <v>147</v>
      </c>
      <c r="M38" s="126" t="s">
        <v>148</v>
      </c>
      <c r="N38" s="126" t="s">
        <v>149</v>
      </c>
      <c r="O38" s="128" t="s">
        <v>150</v>
      </c>
      <c r="P38" s="35"/>
    </row>
    <row r="39">
      <c r="A39" s="41"/>
      <c r="B39" s="43" t="s">
        <v>151</v>
      </c>
      <c r="H39" s="130"/>
      <c r="I39" s="132"/>
      <c r="J39" s="130"/>
      <c r="K39" s="134"/>
      <c r="L39" s="130"/>
      <c r="M39" s="134"/>
      <c r="N39" s="134"/>
      <c r="O39" s="136"/>
      <c r="P39" s="136"/>
    </row>
    <row r="40">
      <c r="A40" s="41"/>
      <c r="B40" s="139"/>
      <c r="H40" s="1" t="s">
        <v>29</v>
      </c>
      <c r="I40" s="1" t="s">
        <v>30</v>
      </c>
      <c r="J40" s="1" t="s">
        <v>31</v>
      </c>
      <c r="L40" s="1" t="s">
        <v>32</v>
      </c>
      <c r="N40" s="1" t="s">
        <v>33</v>
      </c>
      <c r="O40" s="136"/>
      <c r="P40" s="1" t="s">
        <v>34</v>
      </c>
    </row>
    <row r="41">
      <c r="A41" s="41">
        <v>22.0</v>
      </c>
      <c r="B41" s="141" t="s">
        <v>28</v>
      </c>
      <c r="C41" s="131"/>
      <c r="D41" s="131"/>
      <c r="E41" s="131"/>
      <c r="F41" s="131"/>
      <c r="G41" s="143"/>
      <c r="H41" s="146">
        <f t="shared" ref="H41:J41" si="2">(H42+H43)</f>
        <v>0</v>
      </c>
      <c r="I41" s="146">
        <f t="shared" si="2"/>
        <v>0</v>
      </c>
      <c r="J41" s="146">
        <f t="shared" si="2"/>
        <v>0</v>
      </c>
      <c r="K41" s="149">
        <f t="shared" ref="K41:K42" si="3">IF(I41&gt;0,(J41/I41)*100,0)</f>
        <v>0</v>
      </c>
      <c r="L41" s="146">
        <f>(L42+L43)</f>
        <v>0</v>
      </c>
      <c r="M41" s="149">
        <f t="shared" ref="M41:M62" si="4">IF($I41&gt;0,(L41/$I41)*100,0)</f>
        <v>0</v>
      </c>
      <c r="N41" s="146">
        <f>(N42+N43)</f>
        <v>0</v>
      </c>
      <c r="O41" s="146">
        <f t="shared" ref="O41:O62" si="5">IF($I41&gt;0,(N41/$I41)*100,0)</f>
        <v>0</v>
      </c>
      <c r="P41" s="146">
        <f>(P42+P43)</f>
        <v>0</v>
      </c>
    </row>
    <row r="42">
      <c r="A42" s="152">
        <v>23.0</v>
      </c>
      <c r="B42" s="153" t="s">
        <v>152</v>
      </c>
      <c r="C42" s="131"/>
      <c r="D42" s="131"/>
      <c r="E42" s="131"/>
      <c r="F42" s="131"/>
      <c r="G42" s="143"/>
      <c r="H42" s="146"/>
      <c r="I42" s="146"/>
      <c r="J42" s="146"/>
      <c r="K42" s="149">
        <f t="shared" si="3"/>
        <v>0</v>
      </c>
      <c r="L42" s="146"/>
      <c r="M42" s="149">
        <f t="shared" si="4"/>
        <v>0</v>
      </c>
      <c r="N42" s="146"/>
      <c r="O42" s="146">
        <f t="shared" si="5"/>
        <v>0</v>
      </c>
      <c r="P42" s="146"/>
    </row>
    <row r="43">
      <c r="A43" s="152">
        <v>24.0</v>
      </c>
      <c r="B43" s="153" t="s">
        <v>153</v>
      </c>
      <c r="C43" s="131"/>
      <c r="D43" s="131"/>
      <c r="E43" s="131"/>
      <c r="F43" s="131"/>
      <c r="G43" s="143"/>
      <c r="H43" s="146"/>
      <c r="I43" s="146"/>
      <c r="J43" s="146"/>
      <c r="K43" s="149"/>
      <c r="L43" s="146"/>
      <c r="M43" s="149">
        <f t="shared" si="4"/>
        <v>0</v>
      </c>
      <c r="N43" s="146"/>
      <c r="O43" s="146">
        <f t="shared" si="5"/>
        <v>0</v>
      </c>
      <c r="P43" s="146"/>
    </row>
    <row r="44">
      <c r="A44" s="41">
        <v>25.0</v>
      </c>
      <c r="B44" s="156" t="s">
        <v>37</v>
      </c>
      <c r="C44" s="131"/>
      <c r="D44" s="131"/>
      <c r="E44" s="131"/>
      <c r="F44" s="131"/>
      <c r="G44" s="143"/>
      <c r="H44" s="146">
        <f t="shared" ref="H44:J44" si="6">(H45+H46)</f>
        <v>0</v>
      </c>
      <c r="I44" s="146">
        <f t="shared" si="6"/>
        <v>0</v>
      </c>
      <c r="J44" s="146">
        <f t="shared" si="6"/>
        <v>0</v>
      </c>
      <c r="K44" s="149">
        <f t="shared" ref="K44:K62" si="7">IF(I44&gt;0,(J44/I44)*100,0)</f>
        <v>0</v>
      </c>
      <c r="L44" s="146">
        <f>(L45+L46)</f>
        <v>0</v>
      </c>
      <c r="M44" s="149">
        <f t="shared" si="4"/>
        <v>0</v>
      </c>
      <c r="N44" s="146">
        <f>(N45+N46)</f>
        <v>0</v>
      </c>
      <c r="O44" s="146">
        <f t="shared" si="5"/>
        <v>0</v>
      </c>
      <c r="P44" s="146">
        <f>(P45+P46)</f>
        <v>0</v>
      </c>
    </row>
    <row r="45">
      <c r="A45" s="152">
        <v>26.0</v>
      </c>
      <c r="B45" s="153" t="s">
        <v>152</v>
      </c>
      <c r="C45" s="131"/>
      <c r="D45" s="131"/>
      <c r="E45" s="131"/>
      <c r="F45" s="131"/>
      <c r="G45" s="143"/>
      <c r="H45" s="146"/>
      <c r="I45" s="146"/>
      <c r="J45" s="146"/>
      <c r="K45" s="149">
        <f t="shared" si="7"/>
        <v>0</v>
      </c>
      <c r="L45" s="146"/>
      <c r="M45" s="149">
        <f t="shared" si="4"/>
        <v>0</v>
      </c>
      <c r="N45" s="146"/>
      <c r="O45" s="146">
        <f t="shared" si="5"/>
        <v>0</v>
      </c>
      <c r="P45" s="146"/>
    </row>
    <row r="46">
      <c r="A46" s="152">
        <v>27.0</v>
      </c>
      <c r="B46" s="153" t="s">
        <v>154</v>
      </c>
      <c r="C46" s="131"/>
      <c r="D46" s="131"/>
      <c r="E46" s="131"/>
      <c r="F46" s="131"/>
      <c r="G46" s="143"/>
      <c r="H46" s="146"/>
      <c r="I46" s="146"/>
      <c r="J46" s="146"/>
      <c r="K46" s="149">
        <f t="shared" si="7"/>
        <v>0</v>
      </c>
      <c r="L46" s="146"/>
      <c r="M46" s="149">
        <f t="shared" si="4"/>
        <v>0</v>
      </c>
      <c r="N46" s="146"/>
      <c r="O46" s="146">
        <f t="shared" si="5"/>
        <v>0</v>
      </c>
      <c r="P46" s="146"/>
    </row>
    <row r="47">
      <c r="A47" s="41">
        <v>28.0</v>
      </c>
      <c r="B47" s="156" t="s">
        <v>38</v>
      </c>
      <c r="C47" s="131"/>
      <c r="D47" s="131"/>
      <c r="E47" s="131"/>
      <c r="F47" s="131"/>
      <c r="G47" s="143"/>
      <c r="H47" s="146">
        <f t="shared" ref="H47:J47" si="8">(H48+H49)</f>
        <v>0</v>
      </c>
      <c r="I47" s="146">
        <f t="shared" si="8"/>
        <v>0</v>
      </c>
      <c r="J47" s="146">
        <f t="shared" si="8"/>
        <v>0</v>
      </c>
      <c r="K47" s="149">
        <f t="shared" si="7"/>
        <v>0</v>
      </c>
      <c r="L47" s="146">
        <f>(L48+L49)</f>
        <v>0</v>
      </c>
      <c r="M47" s="149">
        <f t="shared" si="4"/>
        <v>0</v>
      </c>
      <c r="N47" s="146">
        <f>(N48+N49)</f>
        <v>0</v>
      </c>
      <c r="O47" s="146">
        <f t="shared" si="5"/>
        <v>0</v>
      </c>
      <c r="P47" s="146">
        <f>(P48+P49)</f>
        <v>0</v>
      </c>
    </row>
    <row r="48">
      <c r="A48" s="152">
        <v>29.0</v>
      </c>
      <c r="B48" s="153" t="s">
        <v>152</v>
      </c>
      <c r="C48" s="131"/>
      <c r="D48" s="131"/>
      <c r="E48" s="131"/>
      <c r="F48" s="131"/>
      <c r="G48" s="143"/>
      <c r="H48" s="146"/>
      <c r="I48" s="146"/>
      <c r="J48" s="146"/>
      <c r="K48" s="149">
        <f t="shared" si="7"/>
        <v>0</v>
      </c>
      <c r="L48" s="146"/>
      <c r="M48" s="149">
        <f t="shared" si="4"/>
        <v>0</v>
      </c>
      <c r="N48" s="146"/>
      <c r="O48" s="146">
        <f t="shared" si="5"/>
        <v>0</v>
      </c>
      <c r="P48" s="146"/>
    </row>
    <row r="49">
      <c r="A49" s="152">
        <v>30.0</v>
      </c>
      <c r="B49" s="153" t="s">
        <v>154</v>
      </c>
      <c r="C49" s="131"/>
      <c r="D49" s="131"/>
      <c r="E49" s="131"/>
      <c r="F49" s="131"/>
      <c r="G49" s="143"/>
      <c r="H49" s="146"/>
      <c r="I49" s="146"/>
      <c r="J49" s="146"/>
      <c r="K49" s="149">
        <f t="shared" si="7"/>
        <v>0</v>
      </c>
      <c r="L49" s="146"/>
      <c r="M49" s="149">
        <f t="shared" si="4"/>
        <v>0</v>
      </c>
      <c r="N49" s="146"/>
      <c r="O49" s="146">
        <f t="shared" si="5"/>
        <v>0</v>
      </c>
      <c r="P49" s="146"/>
    </row>
    <row r="50">
      <c r="A50" s="41">
        <v>31.0</v>
      </c>
      <c r="B50" s="156" t="s">
        <v>39</v>
      </c>
      <c r="C50" s="131"/>
      <c r="D50" s="131"/>
      <c r="E50" s="131"/>
      <c r="F50" s="131"/>
      <c r="G50" s="143"/>
      <c r="H50" s="146">
        <f t="shared" ref="H50:J50" si="9">(H51+H52)</f>
        <v>0</v>
      </c>
      <c r="I50" s="146">
        <f t="shared" si="9"/>
        <v>0</v>
      </c>
      <c r="J50" s="146">
        <f t="shared" si="9"/>
        <v>0</v>
      </c>
      <c r="K50" s="149">
        <f t="shared" si="7"/>
        <v>0</v>
      </c>
      <c r="L50" s="146">
        <f>(L51+L52)</f>
        <v>0</v>
      </c>
      <c r="M50" s="149">
        <f t="shared" si="4"/>
        <v>0</v>
      </c>
      <c r="N50" s="146">
        <f>(N51+N52)</f>
        <v>0</v>
      </c>
      <c r="O50" s="146">
        <f t="shared" si="5"/>
        <v>0</v>
      </c>
      <c r="P50" s="146">
        <f>(P51+P52)</f>
        <v>0</v>
      </c>
    </row>
    <row r="51">
      <c r="A51" s="152">
        <v>32.0</v>
      </c>
      <c r="B51" s="153" t="s">
        <v>152</v>
      </c>
      <c r="C51" s="131"/>
      <c r="D51" s="131"/>
      <c r="E51" s="131"/>
      <c r="F51" s="131"/>
      <c r="G51" s="143"/>
      <c r="H51" s="146"/>
      <c r="I51" s="146"/>
      <c r="J51" s="146"/>
      <c r="K51" s="149">
        <f t="shared" si="7"/>
        <v>0</v>
      </c>
      <c r="L51" s="146"/>
      <c r="M51" s="149">
        <f t="shared" si="4"/>
        <v>0</v>
      </c>
      <c r="N51" s="146"/>
      <c r="O51" s="146">
        <f t="shared" si="5"/>
        <v>0</v>
      </c>
      <c r="P51" s="146"/>
    </row>
    <row r="52">
      <c r="A52" s="152">
        <v>33.0</v>
      </c>
      <c r="B52" s="153" t="s">
        <v>154</v>
      </c>
      <c r="C52" s="131"/>
      <c r="D52" s="131"/>
      <c r="E52" s="131"/>
      <c r="F52" s="131"/>
      <c r="G52" s="143"/>
      <c r="H52" s="146"/>
      <c r="I52" s="146"/>
      <c r="J52" s="146"/>
      <c r="K52" s="149">
        <f t="shared" si="7"/>
        <v>0</v>
      </c>
      <c r="L52" s="146"/>
      <c r="M52" s="149">
        <f t="shared" si="4"/>
        <v>0</v>
      </c>
      <c r="N52" s="146"/>
      <c r="O52" s="146">
        <f t="shared" si="5"/>
        <v>0</v>
      </c>
      <c r="P52" s="146"/>
    </row>
    <row r="53">
      <c r="A53" s="41">
        <v>34.0</v>
      </c>
      <c r="B53" s="156" t="s">
        <v>40</v>
      </c>
      <c r="C53" s="131"/>
      <c r="D53" s="131"/>
      <c r="E53" s="131"/>
      <c r="F53" s="131"/>
      <c r="G53" s="143"/>
      <c r="H53" s="146">
        <f t="shared" ref="H53:J53" si="10">(H54+H55)</f>
        <v>0</v>
      </c>
      <c r="I53" s="146">
        <f t="shared" si="10"/>
        <v>0</v>
      </c>
      <c r="J53" s="146">
        <f t="shared" si="10"/>
        <v>0</v>
      </c>
      <c r="K53" s="149">
        <f t="shared" si="7"/>
        <v>0</v>
      </c>
      <c r="L53" s="146">
        <f>(L54+L55)</f>
        <v>0</v>
      </c>
      <c r="M53" s="149">
        <f t="shared" si="4"/>
        <v>0</v>
      </c>
      <c r="N53" s="146">
        <f>(N54+N55)</f>
        <v>0</v>
      </c>
      <c r="O53" s="146">
        <f t="shared" si="5"/>
        <v>0</v>
      </c>
      <c r="P53" s="146">
        <f>(P54+P55)</f>
        <v>0</v>
      </c>
    </row>
    <row r="54">
      <c r="A54" s="152">
        <v>35.0</v>
      </c>
      <c r="B54" s="153" t="s">
        <v>152</v>
      </c>
      <c r="C54" s="131"/>
      <c r="D54" s="131"/>
      <c r="E54" s="131"/>
      <c r="F54" s="131"/>
      <c r="G54" s="143"/>
      <c r="H54" s="146"/>
      <c r="I54" s="146"/>
      <c r="J54" s="146"/>
      <c r="K54" s="149">
        <f t="shared" si="7"/>
        <v>0</v>
      </c>
      <c r="L54" s="146"/>
      <c r="M54" s="149">
        <f t="shared" si="4"/>
        <v>0</v>
      </c>
      <c r="N54" s="146"/>
      <c r="O54" s="146">
        <f t="shared" si="5"/>
        <v>0</v>
      </c>
      <c r="P54" s="146"/>
    </row>
    <row r="55">
      <c r="A55" s="152">
        <v>36.0</v>
      </c>
      <c r="B55" s="153" t="s">
        <v>154</v>
      </c>
      <c r="C55" s="131"/>
      <c r="D55" s="131"/>
      <c r="E55" s="131"/>
      <c r="F55" s="131"/>
      <c r="G55" s="143"/>
      <c r="H55" s="146"/>
      <c r="I55" s="146"/>
      <c r="J55" s="146"/>
      <c r="K55" s="149">
        <f t="shared" si="7"/>
        <v>0</v>
      </c>
      <c r="L55" s="146"/>
      <c r="M55" s="149">
        <f t="shared" si="4"/>
        <v>0</v>
      </c>
      <c r="N55" s="146"/>
      <c r="O55" s="146">
        <f t="shared" si="5"/>
        <v>0</v>
      </c>
      <c r="P55" s="146"/>
    </row>
    <row r="56">
      <c r="A56" s="41">
        <v>37.0</v>
      </c>
      <c r="B56" s="156" t="s">
        <v>41</v>
      </c>
      <c r="C56" s="131"/>
      <c r="D56" s="131"/>
      <c r="E56" s="131"/>
      <c r="F56" s="131"/>
      <c r="G56" s="143"/>
      <c r="H56" s="146">
        <f t="shared" ref="H56:J56" si="11">(H57+H58)</f>
        <v>0</v>
      </c>
      <c r="I56" s="146">
        <f t="shared" si="11"/>
        <v>0</v>
      </c>
      <c r="J56" s="146">
        <f t="shared" si="11"/>
        <v>0</v>
      </c>
      <c r="K56" s="149">
        <f t="shared" si="7"/>
        <v>0</v>
      </c>
      <c r="L56" s="146">
        <f>(L57+L58)</f>
        <v>0</v>
      </c>
      <c r="M56" s="149">
        <f t="shared" si="4"/>
        <v>0</v>
      </c>
      <c r="N56" s="146">
        <f>(N57+N58)</f>
        <v>0</v>
      </c>
      <c r="O56" s="146">
        <f t="shared" si="5"/>
        <v>0</v>
      </c>
      <c r="P56" s="146">
        <f>(P57+P58)</f>
        <v>0</v>
      </c>
    </row>
    <row r="57">
      <c r="A57" s="152">
        <v>38.0</v>
      </c>
      <c r="B57" s="153" t="s">
        <v>152</v>
      </c>
      <c r="C57" s="131"/>
      <c r="D57" s="131"/>
      <c r="E57" s="131"/>
      <c r="F57" s="131"/>
      <c r="G57" s="143"/>
      <c r="H57" s="146"/>
      <c r="I57" s="146"/>
      <c r="J57" s="146"/>
      <c r="K57" s="149">
        <f t="shared" si="7"/>
        <v>0</v>
      </c>
      <c r="L57" s="146"/>
      <c r="M57" s="149">
        <f t="shared" si="4"/>
        <v>0</v>
      </c>
      <c r="N57" s="146"/>
      <c r="O57" s="146">
        <f t="shared" si="5"/>
        <v>0</v>
      </c>
      <c r="P57" s="146"/>
    </row>
    <row r="58">
      <c r="A58" s="152">
        <v>39.0</v>
      </c>
      <c r="B58" s="153" t="s">
        <v>154</v>
      </c>
      <c r="C58" s="131"/>
      <c r="D58" s="131"/>
      <c r="E58" s="131"/>
      <c r="F58" s="131"/>
      <c r="G58" s="143"/>
      <c r="H58" s="146"/>
      <c r="I58" s="146"/>
      <c r="J58" s="146"/>
      <c r="K58" s="149">
        <f t="shared" si="7"/>
        <v>0</v>
      </c>
      <c r="L58" s="146"/>
      <c r="M58" s="149">
        <f t="shared" si="4"/>
        <v>0</v>
      </c>
      <c r="N58" s="146"/>
      <c r="O58" s="146">
        <f t="shared" si="5"/>
        <v>0</v>
      </c>
      <c r="P58" s="146"/>
    </row>
    <row r="59">
      <c r="A59" s="41">
        <v>40.0</v>
      </c>
      <c r="B59" s="156" t="s">
        <v>42</v>
      </c>
      <c r="C59" s="131"/>
      <c r="D59" s="131"/>
      <c r="E59" s="131"/>
      <c r="F59" s="131"/>
      <c r="G59" s="143"/>
      <c r="H59" s="146">
        <f t="shared" ref="H59:J59" si="12">(H60+H61)</f>
        <v>0</v>
      </c>
      <c r="I59" s="146">
        <f t="shared" si="12"/>
        <v>0</v>
      </c>
      <c r="J59" s="146">
        <f t="shared" si="12"/>
        <v>0</v>
      </c>
      <c r="K59" s="149">
        <f t="shared" si="7"/>
        <v>0</v>
      </c>
      <c r="L59" s="146">
        <f>(L60+L61)</f>
        <v>0</v>
      </c>
      <c r="M59" s="149">
        <f t="shared" si="4"/>
        <v>0</v>
      </c>
      <c r="N59" s="146">
        <f>(N60+N61)</f>
        <v>0</v>
      </c>
      <c r="O59" s="146">
        <f t="shared" si="5"/>
        <v>0</v>
      </c>
      <c r="P59" s="146">
        <f>(P60+P61)</f>
        <v>0</v>
      </c>
    </row>
    <row r="60">
      <c r="A60" s="152">
        <v>41.0</v>
      </c>
      <c r="B60" s="153" t="s">
        <v>152</v>
      </c>
      <c r="C60" s="131"/>
      <c r="D60" s="131"/>
      <c r="E60" s="131"/>
      <c r="F60" s="131"/>
      <c r="G60" s="143"/>
      <c r="H60" s="146"/>
      <c r="I60" s="146"/>
      <c r="J60" s="146"/>
      <c r="K60" s="149">
        <f t="shared" si="7"/>
        <v>0</v>
      </c>
      <c r="L60" s="146"/>
      <c r="M60" s="149">
        <f t="shared" si="4"/>
        <v>0</v>
      </c>
      <c r="N60" s="146"/>
      <c r="O60" s="146">
        <f t="shared" si="5"/>
        <v>0</v>
      </c>
      <c r="P60" s="146"/>
    </row>
    <row r="61">
      <c r="A61" s="152">
        <v>42.0</v>
      </c>
      <c r="B61" s="195" t="s">
        <v>154</v>
      </c>
      <c r="C61" s="15"/>
      <c r="D61" s="15"/>
      <c r="E61" s="15"/>
      <c r="F61" s="15"/>
      <c r="G61" s="35"/>
      <c r="H61" s="197"/>
      <c r="I61" s="197"/>
      <c r="J61" s="197"/>
      <c r="K61" s="199">
        <f t="shared" si="7"/>
        <v>0</v>
      </c>
      <c r="L61" s="197"/>
      <c r="M61" s="149">
        <f t="shared" si="4"/>
        <v>0</v>
      </c>
      <c r="N61" s="197"/>
      <c r="O61" s="201">
        <f t="shared" si="5"/>
        <v>0</v>
      </c>
      <c r="P61" s="197"/>
    </row>
    <row r="62">
      <c r="A62" s="203">
        <v>43.0</v>
      </c>
      <c r="B62" s="204" t="s">
        <v>43</v>
      </c>
      <c r="C62" s="15"/>
      <c r="D62" s="15"/>
      <c r="E62" s="15"/>
      <c r="F62" s="15"/>
      <c r="G62" s="35"/>
      <c r="H62" s="206">
        <f t="shared" ref="H62:J62" si="13">(H41+H44+H47+H50+H53+H56+H59)</f>
        <v>0</v>
      </c>
      <c r="I62" s="206">
        <f t="shared" si="13"/>
        <v>0</v>
      </c>
      <c r="J62" s="206">
        <f t="shared" si="13"/>
        <v>0</v>
      </c>
      <c r="K62" s="209">
        <f t="shared" si="7"/>
        <v>0</v>
      </c>
      <c r="L62" s="206">
        <f>(L41+L44+L47+L50+L53+L56+L59)</f>
        <v>0</v>
      </c>
      <c r="M62" s="209">
        <f t="shared" si="4"/>
        <v>0</v>
      </c>
      <c r="N62" s="206">
        <f>(N41+N44+N47+N50+N53+N56+N59)</f>
        <v>0</v>
      </c>
      <c r="O62" s="209">
        <f t="shared" si="5"/>
        <v>0</v>
      </c>
      <c r="P62" s="206">
        <f>(P41+P44+P47+P50+P53+P56+P59)</f>
        <v>0</v>
      </c>
    </row>
    <row r="63">
      <c r="A63" s="11"/>
      <c r="B63" s="103"/>
      <c r="C63" s="103"/>
      <c r="D63" s="105"/>
      <c r="E63" s="105"/>
      <c r="F63" s="106"/>
      <c r="G63" s="106"/>
      <c r="H63" s="216"/>
      <c r="I63" s="216"/>
      <c r="J63" s="216"/>
      <c r="K63" s="216"/>
      <c r="L63" s="216"/>
      <c r="M63" s="218"/>
      <c r="N63" s="216"/>
      <c r="O63" s="216"/>
      <c r="P63" s="216"/>
    </row>
    <row r="64">
      <c r="A64" s="25"/>
      <c r="B64" s="220" t="s">
        <v>155</v>
      </c>
      <c r="J64" s="109"/>
      <c r="K64" s="223" t="s">
        <v>141</v>
      </c>
      <c r="L64" s="143"/>
      <c r="M64" s="225" t="s">
        <v>142</v>
      </c>
      <c r="N64" s="226"/>
      <c r="O64" s="228" t="s">
        <v>143</v>
      </c>
      <c r="P64" s="143"/>
    </row>
    <row r="65">
      <c r="A65" s="25"/>
      <c r="B65" s="15"/>
      <c r="C65" s="15"/>
      <c r="D65" s="15"/>
      <c r="E65" s="15"/>
      <c r="F65" s="15"/>
      <c r="G65" s="15"/>
      <c r="H65" s="15"/>
      <c r="I65" s="15"/>
      <c r="J65" s="121"/>
      <c r="K65" s="230" t="s">
        <v>156</v>
      </c>
      <c r="L65" s="35"/>
      <c r="M65" s="116" t="s">
        <v>157</v>
      </c>
      <c r="N65" s="35"/>
      <c r="O65" s="118" t="s">
        <v>158</v>
      </c>
      <c r="P65" s="35"/>
    </row>
    <row r="66">
      <c r="A66" s="152"/>
      <c r="B66" s="43" t="s">
        <v>175</v>
      </c>
      <c r="H66" s="132"/>
      <c r="I66" s="132"/>
      <c r="J66" s="132"/>
      <c r="K66" s="232"/>
      <c r="L66" s="232"/>
      <c r="M66" s="232"/>
      <c r="N66" s="232"/>
      <c r="O66" s="232"/>
      <c r="P66" s="232"/>
    </row>
    <row r="67">
      <c r="A67" s="152"/>
      <c r="B67" s="132"/>
      <c r="C67" s="132"/>
      <c r="D67" s="132"/>
      <c r="E67" s="132"/>
      <c r="F67" s="132"/>
      <c r="G67" s="132"/>
      <c r="H67" s="132"/>
      <c r="I67" s="132"/>
      <c r="J67" s="132"/>
      <c r="K67" s="1" t="s">
        <v>31</v>
      </c>
      <c r="L67" s="232"/>
      <c r="M67" s="1" t="s">
        <v>32</v>
      </c>
      <c r="N67" s="232"/>
      <c r="O67" s="1" t="s">
        <v>33</v>
      </c>
      <c r="P67" s="232"/>
    </row>
    <row r="68">
      <c r="A68" s="152">
        <v>44.0</v>
      </c>
      <c r="B68" s="234" t="s">
        <v>44</v>
      </c>
      <c r="C68" s="131"/>
      <c r="D68" s="131"/>
      <c r="E68" s="131"/>
      <c r="F68" s="131"/>
      <c r="G68" s="131"/>
      <c r="H68" s="131"/>
      <c r="I68" s="131"/>
      <c r="J68" s="143"/>
      <c r="K68" s="237">
        <f>J62</f>
        <v>0</v>
      </c>
      <c r="L68" s="30"/>
      <c r="M68" s="237">
        <f>L62</f>
        <v>0</v>
      </c>
      <c r="N68" s="30"/>
      <c r="O68" s="237">
        <f>N62</f>
        <v>0</v>
      </c>
      <c r="P68" s="30"/>
    </row>
    <row r="69">
      <c r="A69" s="152">
        <v>45.0</v>
      </c>
      <c r="B69" s="234" t="s">
        <v>159</v>
      </c>
      <c r="C69" s="131"/>
      <c r="D69" s="131"/>
      <c r="E69" s="131"/>
      <c r="F69" s="131"/>
      <c r="G69" s="131"/>
      <c r="H69" s="131"/>
      <c r="I69" s="131"/>
      <c r="J69" s="143"/>
      <c r="K69" s="237"/>
      <c r="L69" s="30"/>
      <c r="M69" s="237"/>
      <c r="N69" s="30"/>
      <c r="O69" s="237"/>
      <c r="P69" s="30"/>
    </row>
    <row r="70">
      <c r="A70" s="240">
        <v>46.0</v>
      </c>
      <c r="B70" s="242" t="s">
        <v>160</v>
      </c>
      <c r="C70" s="131"/>
      <c r="D70" s="131"/>
      <c r="E70" s="131"/>
      <c r="F70" s="131"/>
      <c r="G70" s="131"/>
      <c r="H70" s="131"/>
      <c r="I70" s="131"/>
      <c r="J70" s="143"/>
      <c r="K70" s="237"/>
      <c r="L70" s="30"/>
      <c r="M70" s="237"/>
      <c r="N70" s="30"/>
      <c r="O70" s="237"/>
      <c r="P70" s="30"/>
    </row>
    <row r="71">
      <c r="A71" s="152">
        <v>47.0</v>
      </c>
      <c r="B71" s="244" t="s">
        <v>161</v>
      </c>
      <c r="C71" s="15"/>
      <c r="D71" s="15"/>
      <c r="E71" s="15"/>
      <c r="F71" s="15"/>
      <c r="G71" s="15"/>
      <c r="H71" s="15"/>
      <c r="I71" s="15"/>
      <c r="J71" s="35"/>
      <c r="K71" s="246"/>
      <c r="L71" s="35"/>
      <c r="M71" s="246"/>
      <c r="N71" s="35"/>
      <c r="O71" s="246"/>
      <c r="P71" s="35"/>
    </row>
    <row r="72">
      <c r="A72" s="248">
        <v>48.0</v>
      </c>
      <c r="B72" s="250" t="s">
        <v>45</v>
      </c>
      <c r="C72" s="15"/>
      <c r="D72" s="15"/>
      <c r="E72" s="15"/>
      <c r="F72" s="15"/>
      <c r="G72" s="15"/>
      <c r="H72" s="15"/>
      <c r="I72" s="15"/>
      <c r="J72" s="35"/>
      <c r="K72" s="252"/>
      <c r="L72" s="35"/>
      <c r="M72" s="252"/>
      <c r="N72" s="35"/>
      <c r="O72" s="252"/>
      <c r="P72" s="35"/>
    </row>
    <row r="73">
      <c r="A73" s="253"/>
      <c r="B73" s="254" t="s">
        <v>188</v>
      </c>
      <c r="C73" s="256"/>
      <c r="D73" s="256"/>
      <c r="E73" s="256"/>
      <c r="F73" s="256"/>
      <c r="G73" s="256"/>
      <c r="H73" s="256"/>
      <c r="I73" s="256"/>
      <c r="J73" s="256"/>
      <c r="K73" s="1"/>
    </row>
    <row r="74">
      <c r="A74" s="253"/>
      <c r="B74" s="254"/>
      <c r="C74" s="256"/>
      <c r="D74" s="256"/>
      <c r="E74" s="256"/>
      <c r="F74" s="256"/>
      <c r="G74" s="256"/>
      <c r="H74" s="256"/>
      <c r="I74" s="256"/>
      <c r="J74" s="256"/>
      <c r="K74" s="1" t="s">
        <v>47</v>
      </c>
      <c r="L74" s="1"/>
      <c r="M74" s="1"/>
      <c r="N74" s="1"/>
      <c r="O74" s="1"/>
      <c r="P74" s="1"/>
    </row>
    <row r="75">
      <c r="A75" s="253">
        <v>49.0</v>
      </c>
      <c r="B75" s="259" t="s">
        <v>189</v>
      </c>
      <c r="C75" s="29"/>
      <c r="D75" s="29"/>
      <c r="E75" s="29"/>
      <c r="F75" s="29"/>
      <c r="G75" s="29"/>
      <c r="H75" s="29"/>
      <c r="I75" s="29"/>
      <c r="J75" s="31"/>
      <c r="K75" s="261"/>
      <c r="L75" s="29"/>
      <c r="M75" s="29"/>
      <c r="N75" s="29"/>
      <c r="O75" s="29"/>
      <c r="P75" s="31"/>
    </row>
    <row r="76">
      <c r="A76" s="262">
        <v>50.0</v>
      </c>
      <c r="B76" s="264" t="s">
        <v>163</v>
      </c>
      <c r="C76" s="266"/>
      <c r="D76" s="266"/>
      <c r="E76" s="266"/>
      <c r="F76" s="266"/>
      <c r="G76" s="266"/>
      <c r="H76" s="266"/>
      <c r="I76" s="266"/>
      <c r="J76" s="266"/>
      <c r="K76" s="261"/>
      <c r="L76" s="29"/>
      <c r="M76" s="29"/>
      <c r="N76" s="29"/>
      <c r="O76" s="29"/>
      <c r="P76" s="31"/>
    </row>
    <row r="77">
      <c r="A77" s="269">
        <v>51.0</v>
      </c>
      <c r="B77" s="271" t="s">
        <v>48</v>
      </c>
      <c r="C77" s="257"/>
      <c r="D77" s="257"/>
      <c r="E77" s="257"/>
      <c r="F77" s="257"/>
      <c r="G77" s="257"/>
      <c r="H77" s="257"/>
      <c r="I77" s="257"/>
      <c r="J77" s="260"/>
      <c r="K77" s="261"/>
      <c r="L77" s="29"/>
      <c r="M77" s="29"/>
      <c r="N77" s="29"/>
      <c r="O77" s="29"/>
      <c r="P77" s="31"/>
    </row>
    <row r="78">
      <c r="A78" s="253">
        <v>52.0</v>
      </c>
      <c r="B78" s="273" t="s">
        <v>49</v>
      </c>
      <c r="C78" s="15"/>
      <c r="D78" s="15"/>
      <c r="E78" s="15"/>
      <c r="F78" s="15"/>
      <c r="G78" s="15"/>
      <c r="H78" s="15"/>
      <c r="I78" s="15"/>
      <c r="J78" s="35"/>
      <c r="K78" s="261"/>
      <c r="L78" s="29"/>
      <c r="M78" s="29"/>
      <c r="N78" s="29"/>
      <c r="O78" s="29"/>
      <c r="P78" s="31"/>
    </row>
    <row r="79">
      <c r="A79" s="274">
        <v>53.0</v>
      </c>
      <c r="B79" s="276" t="s">
        <v>50</v>
      </c>
      <c r="C79" s="15"/>
      <c r="D79" s="15"/>
      <c r="E79" s="15"/>
      <c r="F79" s="15"/>
      <c r="G79" s="15"/>
      <c r="H79" s="15"/>
      <c r="I79" s="15"/>
      <c r="J79" s="35"/>
      <c r="K79" s="279"/>
      <c r="L79" s="266"/>
      <c r="M79" s="266"/>
      <c r="N79" s="266"/>
      <c r="O79" s="266"/>
      <c r="P79" s="281"/>
    </row>
    <row r="80">
      <c r="A80" s="11"/>
      <c r="B80" s="283"/>
      <c r="C80" s="283"/>
      <c r="D80" s="285"/>
      <c r="E80" s="285"/>
      <c r="F80" s="52"/>
      <c r="G80" s="52"/>
      <c r="H80" s="285"/>
      <c r="I80" s="53"/>
      <c r="J80" s="285"/>
      <c r="K80" s="53"/>
      <c r="L80" s="285"/>
      <c r="M80" s="53"/>
      <c r="N80" s="53"/>
      <c r="O80" s="52"/>
      <c r="P80" s="52"/>
    </row>
    <row r="81">
      <c r="A81" s="286"/>
      <c r="B81" s="287" t="s">
        <v>164</v>
      </c>
      <c r="C81" s="288"/>
      <c r="D81" s="288"/>
      <c r="E81" s="288"/>
      <c r="F81" s="288"/>
      <c r="G81" s="288"/>
      <c r="H81" s="288"/>
      <c r="I81" s="289"/>
      <c r="J81" s="290" t="s">
        <v>165</v>
      </c>
      <c r="K81" s="292"/>
      <c r="L81" s="292"/>
      <c r="M81" s="292"/>
      <c r="N81" s="292"/>
      <c r="O81" s="292"/>
      <c r="P81" s="293"/>
    </row>
    <row r="82">
      <c r="A82" s="286"/>
      <c r="B82" s="295"/>
      <c r="I82" s="109"/>
      <c r="J82" s="296" t="s">
        <v>166</v>
      </c>
      <c r="K82" s="289"/>
      <c r="L82" s="297" t="s">
        <v>167</v>
      </c>
      <c r="M82" s="292"/>
      <c r="N82" s="293"/>
      <c r="O82" s="299" t="s">
        <v>200</v>
      </c>
      <c r="P82" s="289"/>
    </row>
    <row r="83">
      <c r="A83" s="286"/>
      <c r="B83" s="302"/>
      <c r="C83" s="257"/>
      <c r="D83" s="257"/>
      <c r="E83" s="257"/>
      <c r="F83" s="257"/>
      <c r="G83" s="257"/>
      <c r="H83" s="257"/>
      <c r="I83" s="260"/>
      <c r="J83" s="302"/>
      <c r="K83" s="260"/>
      <c r="L83" s="304" t="s">
        <v>169</v>
      </c>
      <c r="M83" s="305" t="s">
        <v>170</v>
      </c>
      <c r="N83" s="305" t="s">
        <v>171</v>
      </c>
      <c r="O83" s="302"/>
      <c r="P83" s="260"/>
    </row>
    <row r="84">
      <c r="A84" s="307"/>
      <c r="B84" s="43" t="s">
        <v>204</v>
      </c>
      <c r="H84" s="309"/>
      <c r="I84" s="309"/>
      <c r="J84" s="1"/>
      <c r="K84" s="1"/>
      <c r="L84" s="310"/>
      <c r="M84" s="311"/>
      <c r="N84" s="311"/>
      <c r="O84" s="74"/>
      <c r="P84" s="74"/>
    </row>
    <row r="85">
      <c r="A85" s="307"/>
      <c r="B85" s="309"/>
      <c r="C85" s="309"/>
      <c r="D85" s="309"/>
      <c r="E85" s="309"/>
      <c r="F85" s="309"/>
      <c r="G85" s="309"/>
      <c r="H85" s="309"/>
      <c r="I85" s="309"/>
      <c r="J85" s="1" t="s">
        <v>52</v>
      </c>
      <c r="L85" s="310"/>
      <c r="M85" s="311"/>
      <c r="N85" s="311"/>
      <c r="O85" s="74"/>
      <c r="P85" s="74"/>
    </row>
    <row r="86">
      <c r="A86" s="313">
        <v>54.0</v>
      </c>
      <c r="B86" s="314" t="s">
        <v>205</v>
      </c>
      <c r="C86" s="131"/>
      <c r="D86" s="131"/>
      <c r="E86" s="131"/>
      <c r="F86" s="131"/>
      <c r="G86" s="131"/>
      <c r="H86" s="131"/>
      <c r="I86" s="143"/>
      <c r="L86" s="315"/>
      <c r="M86" s="316"/>
      <c r="N86" s="316"/>
      <c r="O86" s="317"/>
      <c r="P86" s="318"/>
    </row>
    <row r="87">
      <c r="A87" s="313"/>
      <c r="B87" s="43" t="s">
        <v>210</v>
      </c>
      <c r="H87" s="319"/>
      <c r="I87" s="319"/>
      <c r="O87" s="317"/>
      <c r="P87" s="318"/>
    </row>
    <row r="88">
      <c r="A88" s="313"/>
      <c r="B88" s="309"/>
      <c r="C88" s="309"/>
      <c r="D88" s="309"/>
      <c r="E88" s="309"/>
      <c r="F88" s="309"/>
      <c r="G88" s="309"/>
      <c r="H88" s="319"/>
      <c r="I88" s="319"/>
      <c r="J88" s="1" t="s">
        <v>52</v>
      </c>
      <c r="L88" s="1" t="s">
        <v>31</v>
      </c>
      <c r="M88" s="1" t="s">
        <v>32</v>
      </c>
      <c r="N88" s="1" t="s">
        <v>33</v>
      </c>
      <c r="O88" s="317"/>
      <c r="P88" s="318"/>
    </row>
    <row r="89">
      <c r="A89" s="313">
        <v>55.0</v>
      </c>
      <c r="B89" s="314" t="s">
        <v>213</v>
      </c>
      <c r="C89" s="131"/>
      <c r="D89" s="131"/>
      <c r="E89" s="131"/>
      <c r="F89" s="131"/>
      <c r="G89" s="131"/>
      <c r="H89" s="131"/>
      <c r="I89" s="143"/>
      <c r="J89" s="321"/>
      <c r="K89" s="322"/>
      <c r="L89" s="323"/>
      <c r="M89" s="322"/>
      <c r="N89" s="322"/>
      <c r="O89" s="317"/>
      <c r="P89" s="318"/>
    </row>
    <row r="90">
      <c r="A90" s="313">
        <v>56.0</v>
      </c>
      <c r="B90" s="325" t="s">
        <v>215</v>
      </c>
      <c r="C90" s="15"/>
      <c r="D90" s="15"/>
      <c r="E90" s="15"/>
      <c r="F90" s="15"/>
      <c r="G90" s="15"/>
      <c r="H90" s="15"/>
      <c r="I90" s="35"/>
      <c r="J90" s="327"/>
      <c r="K90" s="328"/>
      <c r="L90" s="329"/>
      <c r="M90" s="329"/>
      <c r="N90" s="329"/>
      <c r="O90" s="331"/>
      <c r="P90" s="332"/>
    </row>
    <row r="91">
      <c r="A91" s="334">
        <v>57.0</v>
      </c>
      <c r="B91" s="336" t="s">
        <v>55</v>
      </c>
      <c r="C91" s="15"/>
      <c r="D91" s="15"/>
      <c r="E91" s="15"/>
      <c r="F91" s="15"/>
      <c r="G91" s="15"/>
      <c r="H91" s="15"/>
      <c r="I91" s="35"/>
      <c r="J91" s="338"/>
      <c r="K91" s="339"/>
      <c r="L91" s="340"/>
      <c r="M91" s="340"/>
      <c r="N91" s="340"/>
      <c r="O91" s="343"/>
      <c r="P91" s="344"/>
    </row>
    <row r="92">
      <c r="A92" s="11"/>
      <c r="B92" s="103"/>
      <c r="C92" s="103"/>
      <c r="D92" s="105"/>
      <c r="E92" s="105"/>
      <c r="F92" s="106"/>
      <c r="G92" s="106"/>
      <c r="H92" s="105"/>
      <c r="I92" s="108"/>
      <c r="J92" s="105"/>
      <c r="K92" s="108"/>
      <c r="L92" s="105"/>
      <c r="M92" s="105"/>
      <c r="N92" s="105"/>
      <c r="O92" s="106"/>
      <c r="P92" s="106"/>
    </row>
    <row r="93" ht="36.75" customHeight="1">
      <c r="A93" s="346"/>
      <c r="B93" s="347" t="s">
        <v>176</v>
      </c>
      <c r="P93" s="30"/>
    </row>
    <row r="94" ht="86.25" customHeight="1">
      <c r="A94" s="286"/>
      <c r="B94" s="348" t="s">
        <v>219</v>
      </c>
      <c r="C94" s="349" t="s">
        <v>178</v>
      </c>
      <c r="D94" s="293"/>
      <c r="E94" s="304" t="s">
        <v>179</v>
      </c>
      <c r="F94" s="351" t="s">
        <v>180</v>
      </c>
      <c r="G94" s="351" t="s">
        <v>181</v>
      </c>
      <c r="H94" s="304" t="s">
        <v>182</v>
      </c>
      <c r="I94" s="352" t="s">
        <v>183</v>
      </c>
      <c r="J94" s="304" t="s">
        <v>184</v>
      </c>
      <c r="K94" s="355" t="s">
        <v>222</v>
      </c>
      <c r="L94" s="293"/>
      <c r="M94" s="355" t="s">
        <v>223</v>
      </c>
      <c r="N94" s="293"/>
      <c r="O94" s="290" t="s">
        <v>187</v>
      </c>
      <c r="P94" s="293"/>
    </row>
    <row r="95">
      <c r="A95" s="358"/>
      <c r="B95" s="43" t="s">
        <v>224</v>
      </c>
      <c r="H95" s="52"/>
      <c r="I95" s="52"/>
      <c r="J95" s="310"/>
      <c r="K95" s="52"/>
      <c r="L95" s="52"/>
      <c r="M95" s="52"/>
      <c r="N95" s="52"/>
      <c r="O95" s="52"/>
      <c r="P95" s="52"/>
    </row>
    <row r="96">
      <c r="A96" s="358"/>
      <c r="B96" s="83"/>
      <c r="D96" s="52"/>
      <c r="H96" s="52"/>
      <c r="I96" s="52"/>
      <c r="J96" s="310"/>
      <c r="K96" s="52"/>
      <c r="L96" s="52"/>
      <c r="M96" s="52"/>
      <c r="N96" s="52"/>
      <c r="O96" s="52"/>
      <c r="P96" s="52"/>
    </row>
    <row r="97">
      <c r="A97" s="358"/>
      <c r="B97" s="83"/>
      <c r="C97" s="1" t="s">
        <v>58</v>
      </c>
      <c r="D97" s="52"/>
      <c r="E97" s="1" t="s">
        <v>59</v>
      </c>
      <c r="F97" s="1" t="s">
        <v>60</v>
      </c>
      <c r="G97" s="1" t="s">
        <v>61</v>
      </c>
      <c r="H97" s="1" t="s">
        <v>62</v>
      </c>
      <c r="I97" s="1" t="s">
        <v>63</v>
      </c>
      <c r="J97" s="310"/>
      <c r="L97" s="52"/>
      <c r="M97" s="52"/>
      <c r="N97" s="52"/>
      <c r="O97" s="52"/>
      <c r="P97" s="52"/>
    </row>
    <row r="98">
      <c r="A98" s="253">
        <v>58.0</v>
      </c>
      <c r="B98" s="359" t="s">
        <v>56</v>
      </c>
      <c r="C98" s="317"/>
      <c r="D98" s="360"/>
      <c r="E98" s="360"/>
      <c r="F98" s="360"/>
      <c r="G98" s="360"/>
      <c r="H98" s="360"/>
      <c r="I98" s="360"/>
      <c r="J98" s="315"/>
      <c r="K98" s="52"/>
      <c r="L98" s="30"/>
      <c r="M98" s="361"/>
      <c r="N98" s="143"/>
      <c r="O98" s="361"/>
      <c r="P98" s="143"/>
    </row>
    <row r="99">
      <c r="A99" s="253"/>
      <c r="B99" s="43" t="s">
        <v>225</v>
      </c>
      <c r="H99" s="318"/>
      <c r="I99" s="318"/>
      <c r="J99" s="323"/>
      <c r="K99" s="362"/>
      <c r="L99" s="362"/>
      <c r="M99" s="323"/>
      <c r="N99" s="323"/>
      <c r="O99" s="318"/>
      <c r="P99" s="318"/>
    </row>
    <row r="100">
      <c r="A100" s="253"/>
      <c r="B100" s="83"/>
      <c r="C100" s="1" t="s">
        <v>58</v>
      </c>
      <c r="D100" s="52"/>
      <c r="E100" s="1" t="s">
        <v>59</v>
      </c>
      <c r="F100" s="1" t="s">
        <v>60</v>
      </c>
      <c r="G100" s="1" t="s">
        <v>61</v>
      </c>
      <c r="H100" s="1" t="s">
        <v>62</v>
      </c>
      <c r="I100" s="1" t="s">
        <v>63</v>
      </c>
      <c r="J100" s="1" t="s">
        <v>64</v>
      </c>
      <c r="K100" s="1" t="s">
        <v>65</v>
      </c>
      <c r="L100" s="362"/>
      <c r="M100" s="1" t="s">
        <v>66</v>
      </c>
      <c r="N100" s="323"/>
      <c r="O100" s="318"/>
      <c r="P100" s="318"/>
    </row>
    <row r="101">
      <c r="A101" s="253">
        <v>59.0</v>
      </c>
      <c r="B101" s="359" t="s">
        <v>57</v>
      </c>
      <c r="C101" s="317"/>
      <c r="D101" s="318"/>
      <c r="E101" s="318"/>
      <c r="F101" s="318"/>
      <c r="G101" s="318"/>
      <c r="H101" s="318"/>
      <c r="I101" s="318"/>
      <c r="J101" s="323"/>
      <c r="K101" s="52"/>
      <c r="L101" s="30"/>
      <c r="M101" s="363"/>
      <c r="N101" s="143"/>
      <c r="O101" s="153"/>
      <c r="P101" s="143"/>
    </row>
    <row r="102">
      <c r="A102" s="253">
        <v>60.0</v>
      </c>
      <c r="B102" s="359" t="s">
        <v>68</v>
      </c>
      <c r="C102" s="317"/>
      <c r="D102" s="318"/>
      <c r="E102" s="318"/>
      <c r="F102" s="318"/>
      <c r="G102" s="318"/>
      <c r="H102" s="318"/>
      <c r="I102" s="318"/>
      <c r="J102" s="323"/>
      <c r="K102" s="52"/>
      <c r="L102" s="30"/>
      <c r="M102" s="363"/>
      <c r="N102" s="143"/>
      <c r="O102" s="153"/>
      <c r="P102" s="143"/>
    </row>
    <row r="103">
      <c r="A103" s="253">
        <v>61.0</v>
      </c>
      <c r="B103" s="359" t="s">
        <v>69</v>
      </c>
      <c r="C103" s="317"/>
      <c r="D103" s="318"/>
      <c r="E103" s="318"/>
      <c r="F103" s="318"/>
      <c r="G103" s="318"/>
      <c r="H103" s="318"/>
      <c r="I103" s="318"/>
      <c r="J103" s="323"/>
      <c r="K103" s="52"/>
      <c r="L103" s="30"/>
      <c r="M103" s="363"/>
      <c r="N103" s="143"/>
      <c r="O103" s="153"/>
      <c r="P103" s="143"/>
    </row>
    <row r="104">
      <c r="A104" s="253">
        <v>62.0</v>
      </c>
      <c r="B104" s="366" t="s">
        <v>70</v>
      </c>
      <c r="C104" s="331"/>
      <c r="D104" s="332"/>
      <c r="E104" s="332"/>
      <c r="F104" s="332"/>
      <c r="G104" s="332"/>
      <c r="H104" s="329"/>
      <c r="I104" s="332"/>
      <c r="J104" s="329"/>
      <c r="K104" s="106"/>
      <c r="L104" s="35"/>
      <c r="M104" s="368"/>
      <c r="N104" s="35"/>
      <c r="O104" s="195"/>
      <c r="P104" s="35"/>
    </row>
    <row r="105">
      <c r="A105" s="370"/>
      <c r="B105" s="331"/>
      <c r="C105" s="331"/>
      <c r="D105" s="331"/>
      <c r="E105" s="331"/>
      <c r="F105" s="331"/>
      <c r="G105" s="331"/>
      <c r="H105" s="327"/>
      <c r="I105" s="327"/>
      <c r="J105" s="327"/>
      <c r="K105" s="105"/>
      <c r="L105" s="371"/>
      <c r="M105" s="327"/>
      <c r="N105" s="327"/>
      <c r="O105" s="331"/>
      <c r="P105" s="332"/>
    </row>
    <row r="106">
      <c r="A106" s="373">
        <v>63.0</v>
      </c>
      <c r="B106" s="374" t="s">
        <v>226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35"/>
      <c r="O106" s="375"/>
      <c r="P106" s="35"/>
    </row>
    <row r="107">
      <c r="A107" s="373">
        <v>64.0</v>
      </c>
      <c r="B107" s="204" t="s">
        <v>227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35"/>
      <c r="O107" s="375"/>
      <c r="P107" s="35"/>
    </row>
    <row r="108">
      <c r="A108" s="373">
        <v>65.0</v>
      </c>
      <c r="B108" s="204" t="s">
        <v>228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35"/>
      <c r="O108" s="375"/>
      <c r="P108" s="35"/>
    </row>
    <row r="109">
      <c r="A109" s="370"/>
      <c r="B109" s="331"/>
      <c r="C109" s="331"/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</row>
    <row r="110">
      <c r="A110" s="25"/>
      <c r="B110" s="376" t="s">
        <v>193</v>
      </c>
      <c r="I110" s="109"/>
      <c r="J110" s="118" t="s">
        <v>194</v>
      </c>
      <c r="K110" s="15"/>
      <c r="L110" s="15"/>
      <c r="M110" s="15"/>
      <c r="N110" s="15"/>
      <c r="O110" s="15"/>
      <c r="P110" s="35"/>
    </row>
    <row r="111">
      <c r="A111" s="25"/>
      <c r="I111" s="109"/>
      <c r="J111" s="39" t="s">
        <v>195</v>
      </c>
      <c r="K111" s="109"/>
      <c r="L111" s="118" t="s">
        <v>167</v>
      </c>
      <c r="M111" s="15"/>
      <c r="N111" s="35"/>
      <c r="O111" s="347" t="s">
        <v>229</v>
      </c>
      <c r="P111" s="30"/>
    </row>
    <row r="112">
      <c r="A112" s="25"/>
      <c r="B112" s="15"/>
      <c r="C112" s="15"/>
      <c r="D112" s="15"/>
      <c r="E112" s="15"/>
      <c r="F112" s="15"/>
      <c r="G112" s="15"/>
      <c r="H112" s="15"/>
      <c r="I112" s="121"/>
      <c r="J112" s="15"/>
      <c r="K112" s="121"/>
      <c r="L112" s="128" t="s">
        <v>197</v>
      </c>
      <c r="M112" s="128" t="s">
        <v>198</v>
      </c>
      <c r="N112" s="128" t="s">
        <v>199</v>
      </c>
      <c r="O112" s="15"/>
      <c r="P112" s="35"/>
    </row>
    <row r="113">
      <c r="A113" s="381">
        <v>66.0</v>
      </c>
      <c r="B113" s="382" t="s">
        <v>231</v>
      </c>
      <c r="C113" s="131"/>
      <c r="D113" s="131"/>
      <c r="E113" s="131"/>
      <c r="F113" s="131"/>
      <c r="G113" s="131"/>
      <c r="H113" s="131"/>
      <c r="I113" s="143"/>
      <c r="J113" s="361"/>
      <c r="K113" s="143"/>
      <c r="L113" s="318"/>
      <c r="M113" s="318"/>
      <c r="N113" s="318"/>
      <c r="O113" s="317"/>
      <c r="P113" s="318"/>
    </row>
    <row r="114">
      <c r="A114" s="381">
        <v>67.0</v>
      </c>
      <c r="B114" s="383" t="s">
        <v>233</v>
      </c>
      <c r="C114" s="131"/>
      <c r="D114" s="131"/>
      <c r="E114" s="131"/>
      <c r="F114" s="131"/>
      <c r="G114" s="131"/>
      <c r="H114" s="131"/>
      <c r="I114" s="143"/>
      <c r="J114" s="317"/>
      <c r="K114" s="318"/>
      <c r="L114" s="318"/>
      <c r="M114" s="318"/>
      <c r="N114" s="318"/>
      <c r="O114" s="317"/>
      <c r="P114" s="318"/>
    </row>
    <row r="115">
      <c r="A115" s="313">
        <v>68.0</v>
      </c>
      <c r="B115" s="385" t="s">
        <v>234</v>
      </c>
      <c r="C115" s="15"/>
      <c r="D115" s="15"/>
      <c r="E115" s="15"/>
      <c r="F115" s="15"/>
      <c r="G115" s="15"/>
      <c r="H115" s="15"/>
      <c r="I115" s="35"/>
      <c r="J115" s="331"/>
      <c r="K115" s="332"/>
      <c r="L115" s="332"/>
      <c r="M115" s="332"/>
      <c r="N115" s="332"/>
      <c r="O115" s="331"/>
      <c r="P115" s="332"/>
    </row>
    <row r="116">
      <c r="A116" s="334">
        <v>69.0</v>
      </c>
      <c r="B116" s="96" t="s">
        <v>76</v>
      </c>
      <c r="C116" s="15"/>
      <c r="D116" s="15"/>
      <c r="E116" s="15"/>
      <c r="F116" s="15"/>
      <c r="G116" s="15"/>
      <c r="H116" s="15"/>
      <c r="I116" s="35"/>
      <c r="J116" s="106"/>
      <c r="K116" s="35"/>
      <c r="L116" s="344"/>
      <c r="M116" s="128"/>
      <c r="N116" s="128"/>
      <c r="O116" s="343"/>
      <c r="P116" s="128"/>
    </row>
    <row r="117">
      <c r="A117" s="11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</row>
    <row r="118">
      <c r="A118" s="25"/>
      <c r="B118" s="376" t="s">
        <v>206</v>
      </c>
      <c r="G118" s="109"/>
      <c r="H118" s="39" t="s">
        <v>207</v>
      </c>
      <c r="I118" s="109"/>
      <c r="J118" s="39" t="s">
        <v>208</v>
      </c>
      <c r="K118" s="109"/>
      <c r="L118" s="39" t="s">
        <v>115</v>
      </c>
      <c r="P118" s="30"/>
    </row>
    <row r="119">
      <c r="A119" s="25"/>
      <c r="G119" s="109"/>
      <c r="I119" s="109"/>
      <c r="K119" s="109"/>
      <c r="L119" s="15"/>
      <c r="M119" s="15"/>
      <c r="N119" s="15"/>
      <c r="O119" s="15"/>
      <c r="P119" s="35"/>
    </row>
    <row r="120">
      <c r="A120" s="25"/>
      <c r="G120" s="109"/>
      <c r="I120" s="109"/>
      <c r="K120" s="109"/>
      <c r="L120" s="39" t="s">
        <v>116</v>
      </c>
      <c r="N120" s="109"/>
      <c r="O120" s="39" t="s">
        <v>209</v>
      </c>
      <c r="P120" s="30"/>
    </row>
    <row r="121">
      <c r="A121" s="25"/>
      <c r="B121" s="15"/>
      <c r="C121" s="15"/>
      <c r="D121" s="15"/>
      <c r="E121" s="15"/>
      <c r="F121" s="15"/>
      <c r="G121" s="121"/>
      <c r="H121" s="15"/>
      <c r="I121" s="121"/>
      <c r="J121" s="15"/>
      <c r="K121" s="121"/>
      <c r="L121" s="15"/>
      <c r="M121" s="15"/>
      <c r="N121" s="121"/>
      <c r="O121" s="15"/>
      <c r="P121" s="35"/>
    </row>
    <row r="122">
      <c r="A122" s="387">
        <v>70.0</v>
      </c>
      <c r="B122" s="388" t="s">
        <v>77</v>
      </c>
      <c r="G122" s="30"/>
      <c r="H122" s="52" t="s">
        <v>211</v>
      </c>
      <c r="I122" s="30"/>
      <c r="J122" s="361"/>
      <c r="K122" s="143"/>
      <c r="L122" s="52"/>
      <c r="M122" s="52"/>
      <c r="N122" s="362"/>
      <c r="O122" s="52"/>
      <c r="P122" s="362"/>
    </row>
    <row r="123">
      <c r="A123" s="389">
        <v>71.0</v>
      </c>
      <c r="B123" s="52" t="s">
        <v>212</v>
      </c>
      <c r="G123" s="30"/>
      <c r="H123" s="52"/>
      <c r="I123" s="30"/>
      <c r="J123" s="361"/>
      <c r="K123" s="143"/>
      <c r="L123" s="52"/>
      <c r="M123" s="52"/>
      <c r="N123" s="362"/>
      <c r="O123" s="52"/>
      <c r="P123" s="362"/>
    </row>
    <row r="124">
      <c r="A124" s="389">
        <v>72.0</v>
      </c>
      <c r="B124" s="52" t="s">
        <v>214</v>
      </c>
      <c r="G124" s="30"/>
      <c r="H124" s="391"/>
      <c r="I124" s="258"/>
      <c r="J124" s="391"/>
      <c r="K124" s="258"/>
      <c r="L124" s="52"/>
      <c r="M124" s="52"/>
      <c r="N124" s="362"/>
      <c r="O124" s="52"/>
      <c r="P124" s="362"/>
    </row>
    <row r="125">
      <c r="A125" s="387">
        <v>73.0</v>
      </c>
      <c r="B125" s="388" t="s">
        <v>216</v>
      </c>
      <c r="G125" s="30"/>
      <c r="H125" s="52"/>
      <c r="I125" s="30"/>
      <c r="J125" s="52"/>
      <c r="K125" s="30"/>
      <c r="L125" s="52"/>
      <c r="M125" s="52"/>
      <c r="N125" s="362"/>
      <c r="O125" s="52"/>
      <c r="P125" s="362"/>
    </row>
    <row r="126">
      <c r="A126" s="389">
        <v>74.0</v>
      </c>
      <c r="B126" s="52" t="s">
        <v>81</v>
      </c>
      <c r="G126" s="30"/>
      <c r="H126" s="52"/>
      <c r="I126" s="30"/>
      <c r="J126" s="52"/>
      <c r="K126" s="30"/>
      <c r="L126" s="52"/>
      <c r="M126" s="52"/>
      <c r="N126" s="362"/>
      <c r="O126" s="52"/>
      <c r="P126" s="362"/>
    </row>
    <row r="127">
      <c r="A127" s="387">
        <v>75.0</v>
      </c>
      <c r="B127" s="394" t="s">
        <v>82</v>
      </c>
      <c r="C127" s="15"/>
      <c r="D127" s="15"/>
      <c r="E127" s="15"/>
      <c r="F127" s="15"/>
      <c r="G127" s="35"/>
      <c r="H127" s="105"/>
      <c r="I127" s="35"/>
      <c r="J127" s="105"/>
      <c r="K127" s="35"/>
      <c r="L127" s="106"/>
      <c r="M127" s="106"/>
      <c r="N127" s="395"/>
      <c r="O127" s="106"/>
      <c r="P127" s="395"/>
    </row>
    <row r="128">
      <c r="A128" s="334">
        <v>76.0</v>
      </c>
      <c r="B128" s="396" t="s">
        <v>83</v>
      </c>
      <c r="C128" s="15"/>
      <c r="D128" s="15"/>
      <c r="E128" s="15"/>
      <c r="F128" s="15"/>
      <c r="G128" s="35"/>
      <c r="H128" s="338"/>
      <c r="I128" s="340"/>
      <c r="J128" s="338"/>
      <c r="K128" s="340"/>
      <c r="L128" s="343"/>
      <c r="M128" s="343"/>
      <c r="N128" s="344"/>
      <c r="O128" s="343"/>
      <c r="P128" s="344"/>
    </row>
    <row r="129">
      <c r="A129" s="11"/>
      <c r="B129" s="103"/>
      <c r="C129" s="103"/>
      <c r="D129" s="105"/>
      <c r="E129" s="105"/>
      <c r="F129" s="108"/>
      <c r="G129" s="105"/>
      <c r="H129" s="105"/>
      <c r="I129" s="105"/>
      <c r="J129" s="105"/>
      <c r="K129" s="105"/>
      <c r="L129" s="106"/>
      <c r="M129" s="106"/>
      <c r="N129" s="106"/>
      <c r="O129" s="106"/>
      <c r="P129" s="106"/>
    </row>
    <row r="130">
      <c r="A130" s="346"/>
      <c r="B130" s="118" t="s">
        <v>217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35"/>
    </row>
    <row r="131">
      <c r="A131" s="25"/>
      <c r="B131" s="220" t="s">
        <v>218</v>
      </c>
      <c r="G131" s="109"/>
      <c r="H131" s="397" t="s">
        <v>139</v>
      </c>
      <c r="I131" s="397" t="s">
        <v>220</v>
      </c>
      <c r="J131" s="230" t="s">
        <v>141</v>
      </c>
      <c r="K131" s="35"/>
      <c r="L131" s="118" t="s">
        <v>142</v>
      </c>
      <c r="M131" s="35"/>
      <c r="N131" s="118" t="s">
        <v>143</v>
      </c>
      <c r="O131" s="35"/>
      <c r="P131" s="120" t="s">
        <v>221</v>
      </c>
    </row>
    <row r="132" ht="42.75" customHeight="1">
      <c r="A132" s="25"/>
      <c r="B132" s="257"/>
      <c r="C132" s="257"/>
      <c r="D132" s="257"/>
      <c r="E132" s="257"/>
      <c r="F132" s="257"/>
      <c r="G132" s="260"/>
      <c r="H132" s="260"/>
      <c r="I132" s="260"/>
      <c r="J132" s="124" t="s">
        <v>145</v>
      </c>
      <c r="K132" s="124" t="s">
        <v>146</v>
      </c>
      <c r="L132" s="128" t="s">
        <v>147</v>
      </c>
      <c r="M132" s="128" t="s">
        <v>148</v>
      </c>
      <c r="N132" s="128" t="s">
        <v>149</v>
      </c>
      <c r="O132" s="128" t="s">
        <v>150</v>
      </c>
      <c r="P132" s="35"/>
    </row>
    <row r="133">
      <c r="A133" s="387">
        <v>77.0</v>
      </c>
      <c r="B133" s="361" t="s">
        <v>84</v>
      </c>
      <c r="C133" s="131"/>
      <c r="D133" s="131"/>
      <c r="E133" s="131"/>
      <c r="F133" s="131"/>
      <c r="G133" s="143"/>
      <c r="H133" s="362"/>
      <c r="I133" s="398"/>
      <c r="J133" s="398"/>
      <c r="K133" s="399"/>
      <c r="L133" s="398"/>
      <c r="M133" s="398"/>
      <c r="N133" s="398"/>
      <c r="O133" s="398"/>
      <c r="P133" s="362"/>
    </row>
    <row r="134">
      <c r="A134" s="152">
        <v>78.0</v>
      </c>
      <c r="B134" s="363" t="s">
        <v>152</v>
      </c>
      <c r="C134" s="131"/>
      <c r="D134" s="131"/>
      <c r="E134" s="131"/>
      <c r="F134" s="131"/>
      <c r="G134" s="143"/>
      <c r="H134" s="400"/>
      <c r="I134" s="399"/>
      <c r="J134" s="399"/>
      <c r="K134" s="399"/>
      <c r="L134" s="362"/>
      <c r="M134" s="362"/>
      <c r="N134" s="362"/>
      <c r="O134" s="362"/>
      <c r="P134" s="362"/>
    </row>
    <row r="135">
      <c r="A135" s="152">
        <v>79.0</v>
      </c>
      <c r="B135" s="153" t="s">
        <v>153</v>
      </c>
      <c r="C135" s="131"/>
      <c r="D135" s="131"/>
      <c r="E135" s="131"/>
      <c r="F135" s="131"/>
      <c r="G135" s="170"/>
      <c r="H135" s="400"/>
      <c r="I135" s="399"/>
      <c r="J135" s="399"/>
      <c r="K135" s="399"/>
      <c r="L135" s="362"/>
      <c r="M135" s="362"/>
      <c r="N135" s="362"/>
      <c r="O135" s="362"/>
      <c r="P135" s="362"/>
    </row>
    <row r="136">
      <c r="A136" s="387">
        <v>80.0</v>
      </c>
      <c r="B136" s="156" t="s">
        <v>85</v>
      </c>
      <c r="C136" s="131"/>
      <c r="D136" s="131"/>
      <c r="E136" s="131"/>
      <c r="F136" s="131"/>
      <c r="G136" s="131"/>
      <c r="H136" s="401"/>
      <c r="I136" s="362"/>
      <c r="J136" s="362"/>
      <c r="K136" s="362"/>
      <c r="L136" s="362"/>
      <c r="M136" s="362"/>
      <c r="N136" s="362"/>
      <c r="O136" s="362"/>
      <c r="P136" s="362"/>
    </row>
    <row r="137">
      <c r="A137" s="152">
        <v>81.0</v>
      </c>
      <c r="B137" s="153" t="s">
        <v>152</v>
      </c>
      <c r="C137" s="131"/>
      <c r="D137" s="131"/>
      <c r="E137" s="131"/>
      <c r="F137" s="131"/>
      <c r="G137" s="170"/>
      <c r="H137" s="401"/>
      <c r="I137" s="362"/>
      <c r="J137" s="362"/>
      <c r="K137" s="362"/>
      <c r="L137" s="362"/>
      <c r="M137" s="362"/>
      <c r="N137" s="362"/>
      <c r="O137" s="362"/>
      <c r="P137" s="362"/>
    </row>
    <row r="138">
      <c r="A138" s="152">
        <v>82.0</v>
      </c>
      <c r="B138" s="153" t="s">
        <v>154</v>
      </c>
      <c r="C138" s="131"/>
      <c r="D138" s="131"/>
      <c r="E138" s="131"/>
      <c r="F138" s="131"/>
      <c r="G138" s="170"/>
      <c r="H138" s="401"/>
      <c r="I138" s="362"/>
      <c r="J138" s="362"/>
      <c r="K138" s="362"/>
      <c r="L138" s="362"/>
      <c r="M138" s="362"/>
      <c r="N138" s="362"/>
      <c r="O138" s="362"/>
      <c r="P138" s="362"/>
    </row>
    <row r="139">
      <c r="A139" s="387">
        <v>83.0</v>
      </c>
      <c r="B139" s="156" t="s">
        <v>86</v>
      </c>
      <c r="C139" s="131"/>
      <c r="D139" s="131"/>
      <c r="E139" s="131"/>
      <c r="F139" s="131"/>
      <c r="G139" s="131"/>
      <c r="H139" s="401"/>
      <c r="I139" s="362"/>
      <c r="J139" s="362"/>
      <c r="K139" s="362"/>
      <c r="L139" s="362"/>
      <c r="M139" s="362"/>
      <c r="N139" s="362"/>
      <c r="O139" s="362"/>
      <c r="P139" s="362"/>
    </row>
    <row r="140">
      <c r="A140" s="152">
        <v>84.0</v>
      </c>
      <c r="B140" s="153" t="s">
        <v>152</v>
      </c>
      <c r="C140" s="131"/>
      <c r="D140" s="131"/>
      <c r="E140" s="131"/>
      <c r="F140" s="131"/>
      <c r="G140" s="170"/>
      <c r="H140" s="401"/>
      <c r="I140" s="362"/>
      <c r="J140" s="362"/>
      <c r="K140" s="362"/>
      <c r="L140" s="362"/>
      <c r="M140" s="362"/>
      <c r="N140" s="362"/>
      <c r="O140" s="362"/>
      <c r="P140" s="362"/>
    </row>
    <row r="141">
      <c r="A141" s="152">
        <v>85.0</v>
      </c>
      <c r="B141" s="153" t="s">
        <v>154</v>
      </c>
      <c r="C141" s="131"/>
      <c r="D141" s="131"/>
      <c r="E141" s="131"/>
      <c r="F141" s="131"/>
      <c r="G141" s="170"/>
      <c r="H141" s="401"/>
      <c r="I141" s="362"/>
      <c r="J141" s="362"/>
      <c r="K141" s="362"/>
      <c r="L141" s="362"/>
      <c r="M141" s="362"/>
      <c r="N141" s="362"/>
      <c r="O141" s="362"/>
      <c r="P141" s="362"/>
    </row>
    <row r="142">
      <c r="A142" s="387">
        <v>86.0</v>
      </c>
      <c r="B142" s="402" t="s">
        <v>87</v>
      </c>
      <c r="C142" s="131"/>
      <c r="D142" s="131"/>
      <c r="E142" s="131"/>
      <c r="F142" s="131"/>
      <c r="G142" s="131"/>
      <c r="H142" s="401"/>
      <c r="I142" s="362"/>
      <c r="J142" s="362"/>
      <c r="K142" s="362"/>
      <c r="L142" s="362"/>
      <c r="M142" s="362"/>
      <c r="N142" s="403"/>
      <c r="O142" s="362"/>
      <c r="P142" s="362"/>
    </row>
    <row r="143">
      <c r="A143" s="152">
        <v>87.0</v>
      </c>
      <c r="B143" s="404" t="s">
        <v>152</v>
      </c>
      <c r="C143" s="131"/>
      <c r="D143" s="131"/>
      <c r="E143" s="131"/>
      <c r="F143" s="131"/>
      <c r="G143" s="170"/>
      <c r="H143" s="405"/>
      <c r="I143" s="403"/>
      <c r="J143" s="232"/>
      <c r="K143" s="403"/>
      <c r="L143" s="403"/>
      <c r="M143" s="403"/>
      <c r="N143" s="403"/>
      <c r="O143" s="362"/>
      <c r="P143" s="362"/>
    </row>
    <row r="144">
      <c r="A144" s="152">
        <v>88.0</v>
      </c>
      <c r="B144" s="404" t="s">
        <v>154</v>
      </c>
      <c r="C144" s="131"/>
      <c r="D144" s="131"/>
      <c r="E144" s="131"/>
      <c r="F144" s="131"/>
      <c r="G144" s="170"/>
      <c r="H144" s="405"/>
      <c r="I144" s="403"/>
      <c r="J144" s="232"/>
      <c r="K144" s="403"/>
      <c r="L144" s="403"/>
      <c r="M144" s="403"/>
      <c r="N144" s="403"/>
      <c r="O144" s="362"/>
      <c r="P144" s="362"/>
    </row>
    <row r="145">
      <c r="A145" s="387">
        <v>89.0</v>
      </c>
      <c r="B145" s="406" t="s">
        <v>88</v>
      </c>
      <c r="C145" s="131"/>
      <c r="D145" s="131"/>
      <c r="E145" s="131"/>
      <c r="F145" s="131"/>
      <c r="G145" s="131"/>
      <c r="H145" s="400"/>
      <c r="I145" s="232"/>
      <c r="J145" s="399"/>
      <c r="K145" s="232"/>
      <c r="L145" s="399"/>
      <c r="M145" s="362"/>
      <c r="N145" s="362"/>
      <c r="O145" s="362"/>
      <c r="P145" s="362"/>
    </row>
    <row r="146">
      <c r="A146" s="152">
        <v>90.0</v>
      </c>
      <c r="B146" s="153" t="s">
        <v>152</v>
      </c>
      <c r="C146" s="131"/>
      <c r="D146" s="131"/>
      <c r="E146" s="131"/>
      <c r="F146" s="131"/>
      <c r="G146" s="170"/>
      <c r="H146" s="401"/>
      <c r="I146" s="362"/>
      <c r="J146" s="362"/>
      <c r="K146" s="362"/>
      <c r="L146" s="362"/>
      <c r="M146" s="362"/>
      <c r="N146" s="362"/>
      <c r="O146" s="362"/>
      <c r="P146" s="362"/>
    </row>
    <row r="147">
      <c r="A147" s="152">
        <v>91.0</v>
      </c>
      <c r="B147" s="153" t="s">
        <v>154</v>
      </c>
      <c r="C147" s="131"/>
      <c r="D147" s="131"/>
      <c r="E147" s="131"/>
      <c r="F147" s="131"/>
      <c r="G147" s="170"/>
      <c r="H147" s="401"/>
      <c r="I147" s="362"/>
      <c r="J147" s="362"/>
      <c r="K147" s="362"/>
      <c r="L147" s="362"/>
      <c r="M147" s="362"/>
      <c r="N147" s="362"/>
      <c r="O147" s="362"/>
      <c r="P147" s="362"/>
    </row>
    <row r="148">
      <c r="A148" s="387">
        <v>92.0</v>
      </c>
      <c r="B148" s="156" t="s">
        <v>89</v>
      </c>
      <c r="C148" s="131"/>
      <c r="D148" s="131"/>
      <c r="E148" s="131"/>
      <c r="F148" s="131"/>
      <c r="G148" s="131"/>
      <c r="H148" s="401"/>
      <c r="I148" s="362"/>
      <c r="J148" s="362"/>
      <c r="K148" s="362"/>
      <c r="L148" s="362"/>
      <c r="M148" s="362"/>
      <c r="N148" s="362"/>
      <c r="O148" s="362"/>
      <c r="P148" s="362"/>
    </row>
    <row r="149">
      <c r="A149" s="152">
        <v>93.0</v>
      </c>
      <c r="B149" s="153" t="s">
        <v>152</v>
      </c>
      <c r="C149" s="131"/>
      <c r="D149" s="131"/>
      <c r="E149" s="131"/>
      <c r="F149" s="131"/>
      <c r="G149" s="170"/>
      <c r="H149" s="401"/>
      <c r="I149" s="362"/>
      <c r="J149" s="362"/>
      <c r="K149" s="362"/>
      <c r="L149" s="362"/>
      <c r="M149" s="362"/>
      <c r="N149" s="362"/>
      <c r="O149" s="362"/>
      <c r="P149" s="362"/>
    </row>
    <row r="150">
      <c r="A150" s="152">
        <v>94.0</v>
      </c>
      <c r="B150" s="153" t="s">
        <v>154</v>
      </c>
      <c r="C150" s="131"/>
      <c r="D150" s="131"/>
      <c r="E150" s="131"/>
      <c r="F150" s="131"/>
      <c r="G150" s="170"/>
      <c r="H150" s="401"/>
      <c r="I150" s="362"/>
      <c r="J150" s="362"/>
      <c r="K150" s="362"/>
      <c r="L150" s="362"/>
      <c r="M150" s="362"/>
      <c r="N150" s="362"/>
      <c r="O150" s="362"/>
      <c r="P150" s="362"/>
    </row>
    <row r="151">
      <c r="A151" s="387">
        <v>95.0</v>
      </c>
      <c r="B151" s="156" t="s">
        <v>90</v>
      </c>
      <c r="C151" s="131"/>
      <c r="D151" s="131"/>
      <c r="E151" s="131"/>
      <c r="F151" s="131"/>
      <c r="G151" s="131"/>
      <c r="H151" s="401"/>
      <c r="I151" s="362"/>
      <c r="J151" s="362"/>
      <c r="K151" s="362"/>
      <c r="L151" s="362"/>
      <c r="M151" s="362"/>
      <c r="N151" s="362"/>
      <c r="O151" s="362"/>
      <c r="P151" s="362"/>
    </row>
    <row r="152">
      <c r="A152" s="152">
        <v>96.0</v>
      </c>
      <c r="B152" s="153" t="s">
        <v>152</v>
      </c>
      <c r="C152" s="131"/>
      <c r="D152" s="131"/>
      <c r="E152" s="131"/>
      <c r="F152" s="131"/>
      <c r="G152" s="170"/>
      <c r="H152" s="401"/>
      <c r="I152" s="362"/>
      <c r="J152" s="362"/>
      <c r="K152" s="362"/>
      <c r="L152" s="362"/>
      <c r="M152" s="362"/>
      <c r="N152" s="362"/>
      <c r="O152" s="362"/>
      <c r="P152" s="362"/>
    </row>
    <row r="153">
      <c r="A153" s="152">
        <v>97.0</v>
      </c>
      <c r="B153" s="195" t="s">
        <v>154</v>
      </c>
      <c r="C153" s="15"/>
      <c r="D153" s="15"/>
      <c r="E153" s="15"/>
      <c r="F153" s="15"/>
      <c r="G153" s="35"/>
      <c r="H153" s="407"/>
      <c r="I153" s="395"/>
      <c r="J153" s="395"/>
      <c r="K153" s="395"/>
      <c r="L153" s="395"/>
      <c r="M153" s="395"/>
      <c r="N153" s="395"/>
      <c r="O153" s="395"/>
      <c r="P153" s="395"/>
    </row>
    <row r="154">
      <c r="A154" s="408">
        <v>98.0</v>
      </c>
      <c r="B154" s="375" t="s">
        <v>91</v>
      </c>
      <c r="C154" s="15"/>
      <c r="D154" s="15"/>
      <c r="E154" s="15"/>
      <c r="F154" s="15"/>
      <c r="G154" s="35"/>
      <c r="H154" s="344"/>
      <c r="I154" s="344"/>
      <c r="J154" s="344"/>
      <c r="K154" s="344"/>
      <c r="L154" s="344"/>
      <c r="M154" s="344"/>
      <c r="N154" s="344"/>
      <c r="O154" s="344"/>
      <c r="P154" s="344"/>
    </row>
    <row r="155">
      <c r="A155" s="11"/>
      <c r="B155" s="106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06"/>
      <c r="N155" s="106"/>
      <c r="O155" s="106"/>
      <c r="P155" s="106"/>
    </row>
    <row r="156">
      <c r="A156" s="25"/>
      <c r="B156" s="376" t="s">
        <v>230</v>
      </c>
      <c r="G156" s="109"/>
      <c r="H156" s="120" t="s">
        <v>139</v>
      </c>
      <c r="I156" s="409" t="s">
        <v>140</v>
      </c>
      <c r="J156" s="118" t="s">
        <v>141</v>
      </c>
      <c r="K156" s="35"/>
      <c r="L156" s="118" t="s">
        <v>142</v>
      </c>
      <c r="M156" s="35"/>
      <c r="N156" s="118" t="s">
        <v>143</v>
      </c>
      <c r="O156" s="35"/>
      <c r="P156" s="120" t="s">
        <v>232</v>
      </c>
    </row>
    <row r="157" ht="40.5" customHeight="1">
      <c r="A157" s="25"/>
      <c r="B157" s="15"/>
      <c r="C157" s="15"/>
      <c r="D157" s="15"/>
      <c r="E157" s="15"/>
      <c r="F157" s="15"/>
      <c r="G157" s="121"/>
      <c r="H157" s="35"/>
      <c r="I157" s="121"/>
      <c r="J157" s="128" t="s">
        <v>145</v>
      </c>
      <c r="K157" s="128" t="s">
        <v>146</v>
      </c>
      <c r="L157" s="128" t="s">
        <v>147</v>
      </c>
      <c r="M157" s="128" t="s">
        <v>148</v>
      </c>
      <c r="N157" s="128" t="s">
        <v>149</v>
      </c>
      <c r="O157" s="128" t="s">
        <v>150</v>
      </c>
      <c r="P157" s="35"/>
    </row>
    <row r="158">
      <c r="A158" s="387">
        <v>99.0</v>
      </c>
      <c r="B158" s="388" t="s">
        <v>92</v>
      </c>
      <c r="G158" s="30"/>
      <c r="H158" s="401"/>
      <c r="I158" s="362"/>
      <c r="J158" s="362"/>
      <c r="K158" s="362"/>
      <c r="L158" s="362"/>
      <c r="M158" s="362"/>
      <c r="N158" s="362"/>
      <c r="O158" s="362"/>
      <c r="P158" s="362"/>
    </row>
    <row r="159">
      <c r="A159" s="387">
        <v>100.0</v>
      </c>
      <c r="B159" s="388" t="s">
        <v>93</v>
      </c>
      <c r="H159" s="401"/>
      <c r="I159" s="362"/>
      <c r="J159" s="362"/>
      <c r="K159" s="362"/>
      <c r="L159" s="362"/>
      <c r="M159" s="362"/>
      <c r="N159" s="362"/>
      <c r="O159" s="362"/>
      <c r="P159" s="362"/>
    </row>
    <row r="160">
      <c r="A160" s="387">
        <v>101.0</v>
      </c>
      <c r="B160" s="388" t="s">
        <v>94</v>
      </c>
      <c r="H160" s="401"/>
      <c r="I160" s="362"/>
      <c r="J160" s="362"/>
      <c r="K160" s="362"/>
      <c r="L160" s="362"/>
      <c r="M160" s="362"/>
      <c r="N160" s="362"/>
      <c r="O160" s="362"/>
      <c r="P160" s="362"/>
    </row>
    <row r="161">
      <c r="A161" s="387">
        <v>102.0</v>
      </c>
      <c r="B161" s="388" t="s">
        <v>95</v>
      </c>
      <c r="H161" s="401"/>
      <c r="I161" s="362"/>
      <c r="J161" s="362"/>
      <c r="K161" s="362"/>
      <c r="L161" s="362"/>
      <c r="M161" s="362"/>
      <c r="N161" s="362"/>
      <c r="O161" s="362"/>
      <c r="P161" s="362"/>
    </row>
    <row r="162">
      <c r="A162" s="387">
        <v>103.0</v>
      </c>
      <c r="B162" s="388" t="s">
        <v>97</v>
      </c>
      <c r="H162" s="401"/>
      <c r="I162" s="362"/>
      <c r="J162" s="362"/>
      <c r="K162" s="362"/>
      <c r="L162" s="362"/>
      <c r="M162" s="362"/>
      <c r="N162" s="362"/>
      <c r="O162" s="362"/>
      <c r="P162" s="362"/>
    </row>
    <row r="163">
      <c r="A163" s="387">
        <v>104.0</v>
      </c>
      <c r="B163" s="388" t="s">
        <v>98</v>
      </c>
      <c r="H163" s="401"/>
      <c r="I163" s="362"/>
      <c r="J163" s="362"/>
      <c r="K163" s="362"/>
      <c r="L163" s="362"/>
      <c r="M163" s="362"/>
      <c r="N163" s="362"/>
      <c r="O163" s="362"/>
      <c r="P163" s="362"/>
    </row>
    <row r="164">
      <c r="A164" s="387">
        <v>105.0</v>
      </c>
      <c r="B164" s="410" t="s">
        <v>99</v>
      </c>
      <c r="C164" s="15"/>
      <c r="D164" s="15"/>
      <c r="E164" s="15"/>
      <c r="F164" s="15"/>
      <c r="G164" s="15"/>
      <c r="H164" s="407"/>
      <c r="I164" s="395"/>
      <c r="J164" s="395"/>
      <c r="K164" s="395"/>
      <c r="L164" s="395"/>
      <c r="M164" s="395"/>
      <c r="N164" s="395"/>
      <c r="O164" s="395"/>
      <c r="P164" s="395"/>
    </row>
    <row r="165">
      <c r="A165" s="408">
        <v>106.0</v>
      </c>
      <c r="B165" s="96" t="s">
        <v>101</v>
      </c>
      <c r="C165" s="15"/>
      <c r="D165" s="15"/>
      <c r="E165" s="15"/>
      <c r="F165" s="15"/>
      <c r="G165" s="35"/>
      <c r="H165" s="344"/>
      <c r="I165" s="344"/>
      <c r="J165" s="344"/>
      <c r="K165" s="344"/>
      <c r="L165" s="344"/>
      <c r="M165" s="344"/>
      <c r="N165" s="344"/>
      <c r="O165" s="344"/>
      <c r="P165" s="344"/>
    </row>
    <row r="166">
      <c r="A166" s="408">
        <v>107.0</v>
      </c>
      <c r="B166" s="411" t="s">
        <v>235</v>
      </c>
      <c r="C166" s="15"/>
      <c r="D166" s="15"/>
      <c r="E166" s="15"/>
      <c r="F166" s="15"/>
      <c r="G166" s="35"/>
      <c r="H166" s="332"/>
      <c r="I166" s="332"/>
      <c r="J166" s="332"/>
      <c r="K166" s="332"/>
      <c r="L166" s="332"/>
      <c r="M166" s="332"/>
      <c r="N166" s="332"/>
      <c r="O166" s="332"/>
      <c r="P166" s="332"/>
    </row>
    <row r="167">
      <c r="A167" s="408">
        <v>108.0</v>
      </c>
      <c r="B167" s="204" t="s">
        <v>103</v>
      </c>
      <c r="C167" s="15"/>
      <c r="D167" s="15"/>
      <c r="E167" s="15"/>
      <c r="F167" s="15"/>
      <c r="G167" s="35"/>
      <c r="H167" s="412"/>
      <c r="I167" s="344"/>
      <c r="J167" s="344"/>
      <c r="K167" s="344"/>
      <c r="L167" s="344"/>
      <c r="M167" s="344"/>
      <c r="N167" s="344"/>
      <c r="O167" s="344"/>
      <c r="P167" s="344"/>
    </row>
    <row r="168">
      <c r="A168" s="11"/>
      <c r="B168" s="413" t="s">
        <v>241</v>
      </c>
      <c r="M168" s="388"/>
      <c r="N168" s="388"/>
      <c r="O168" s="388"/>
      <c r="P168" s="388"/>
    </row>
    <row r="169">
      <c r="A169" s="11"/>
      <c r="B169" s="414" t="s">
        <v>237</v>
      </c>
      <c r="C169" s="414"/>
      <c r="D169" s="388"/>
      <c r="E169" s="388"/>
      <c r="F169" s="388"/>
      <c r="G169" s="388"/>
      <c r="H169" s="388"/>
      <c r="I169" s="388"/>
      <c r="J169" s="388"/>
      <c r="K169" s="388"/>
      <c r="L169" s="388"/>
      <c r="M169" s="388"/>
      <c r="N169" s="388"/>
      <c r="O169" s="388"/>
      <c r="P169" s="388"/>
    </row>
    <row r="170">
      <c r="A170" s="11"/>
      <c r="B170" s="415" t="s">
        <v>242</v>
      </c>
      <c r="M170" s="388"/>
      <c r="N170" s="388"/>
      <c r="O170" s="388"/>
      <c r="P170" s="388"/>
    </row>
    <row r="171">
      <c r="A171" s="11"/>
      <c r="B171" s="415" t="s">
        <v>243</v>
      </c>
    </row>
    <row r="172">
      <c r="A172" s="11"/>
      <c r="B172" s="415" t="s">
        <v>244</v>
      </c>
      <c r="M172" s="52"/>
      <c r="N172" s="52"/>
      <c r="O172" s="52"/>
      <c r="P172" s="52"/>
    </row>
    <row r="173">
      <c r="A173" s="11"/>
      <c r="B173" s="283"/>
      <c r="C173" s="28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</row>
  </sheetData>
  <mergeCells count="326">
    <mergeCell ref="B77:J77"/>
    <mergeCell ref="B78:J78"/>
    <mergeCell ref="K78:P78"/>
    <mergeCell ref="B79:J79"/>
    <mergeCell ref="K79:P79"/>
    <mergeCell ref="B81:I83"/>
    <mergeCell ref="J81:P81"/>
    <mergeCell ref="O82:P83"/>
    <mergeCell ref="B76:J76"/>
    <mergeCell ref="K76:P76"/>
    <mergeCell ref="B72:J72"/>
    <mergeCell ref="K72:L72"/>
    <mergeCell ref="M72:N72"/>
    <mergeCell ref="O72:P72"/>
    <mergeCell ref="B75:J75"/>
    <mergeCell ref="K75:P75"/>
    <mergeCell ref="K77:P77"/>
    <mergeCell ref="K65:L65"/>
    <mergeCell ref="M65:N65"/>
    <mergeCell ref="B60:G60"/>
    <mergeCell ref="B61:G61"/>
    <mergeCell ref="B62:G62"/>
    <mergeCell ref="K64:L64"/>
    <mergeCell ref="O64:P64"/>
    <mergeCell ref="O65:P65"/>
    <mergeCell ref="M64:N64"/>
    <mergeCell ref="K69:L69"/>
    <mergeCell ref="M69:N69"/>
    <mergeCell ref="B64:J65"/>
    <mergeCell ref="B66:G66"/>
    <mergeCell ref="B68:J68"/>
    <mergeCell ref="K68:L68"/>
    <mergeCell ref="M68:N68"/>
    <mergeCell ref="O68:P68"/>
    <mergeCell ref="O69:P69"/>
    <mergeCell ref="M71:N71"/>
    <mergeCell ref="O71:P71"/>
    <mergeCell ref="K73:P73"/>
    <mergeCell ref="B69:J69"/>
    <mergeCell ref="B70:J70"/>
    <mergeCell ref="K70:L70"/>
    <mergeCell ref="M70:N70"/>
    <mergeCell ref="O70:P70"/>
    <mergeCell ref="B71:J71"/>
    <mergeCell ref="K71:L71"/>
    <mergeCell ref="J82:K83"/>
    <mergeCell ref="L82:N82"/>
    <mergeCell ref="B84:G84"/>
    <mergeCell ref="J85:K85"/>
    <mergeCell ref="B86:I86"/>
    <mergeCell ref="B87:G87"/>
    <mergeCell ref="J88:K88"/>
    <mergeCell ref="H122:I122"/>
    <mergeCell ref="J122:K122"/>
    <mergeCell ref="B118:G121"/>
    <mergeCell ref="H118:I121"/>
    <mergeCell ref="J118:K121"/>
    <mergeCell ref="L118:P119"/>
    <mergeCell ref="L120:N121"/>
    <mergeCell ref="O120:P121"/>
    <mergeCell ref="B122:G122"/>
    <mergeCell ref="B126:G126"/>
    <mergeCell ref="H126:I126"/>
    <mergeCell ref="J126:K126"/>
    <mergeCell ref="B127:G127"/>
    <mergeCell ref="H127:I127"/>
    <mergeCell ref="J127:K127"/>
    <mergeCell ref="B130:P130"/>
    <mergeCell ref="B128:G128"/>
    <mergeCell ref="H131:H132"/>
    <mergeCell ref="I131:I132"/>
    <mergeCell ref="J131:K131"/>
    <mergeCell ref="L131:M131"/>
    <mergeCell ref="N131:O131"/>
    <mergeCell ref="P131:P132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L156:M156"/>
    <mergeCell ref="N156:O156"/>
    <mergeCell ref="P156:P157"/>
    <mergeCell ref="B153:G153"/>
    <mergeCell ref="B154:G154"/>
    <mergeCell ref="B155:L155"/>
    <mergeCell ref="B156:G157"/>
    <mergeCell ref="H156:H157"/>
    <mergeCell ref="I156:I157"/>
    <mergeCell ref="J156:K156"/>
    <mergeCell ref="B165:G165"/>
    <mergeCell ref="B166:G166"/>
    <mergeCell ref="B167:G167"/>
    <mergeCell ref="B168:L168"/>
    <mergeCell ref="B170:L170"/>
    <mergeCell ref="B171:P171"/>
    <mergeCell ref="B172:L172"/>
    <mergeCell ref="B158:G158"/>
    <mergeCell ref="B159:G159"/>
    <mergeCell ref="B160:G160"/>
    <mergeCell ref="B161:G161"/>
    <mergeCell ref="B162:G162"/>
    <mergeCell ref="B163:G163"/>
    <mergeCell ref="B164:G164"/>
    <mergeCell ref="B89:I89"/>
    <mergeCell ref="B90:I90"/>
    <mergeCell ref="B91:I91"/>
    <mergeCell ref="B93:P93"/>
    <mergeCell ref="K94:L94"/>
    <mergeCell ref="M94:N94"/>
    <mergeCell ref="O94:P94"/>
    <mergeCell ref="C94:D94"/>
    <mergeCell ref="B95:G95"/>
    <mergeCell ref="K98:L98"/>
    <mergeCell ref="M98:N98"/>
    <mergeCell ref="O98:P98"/>
    <mergeCell ref="B99:G99"/>
    <mergeCell ref="K101:L101"/>
    <mergeCell ref="M101:N101"/>
    <mergeCell ref="O101:P101"/>
    <mergeCell ref="K102:L102"/>
    <mergeCell ref="M102:N102"/>
    <mergeCell ref="O102:P102"/>
    <mergeCell ref="M103:N103"/>
    <mergeCell ref="O103:P103"/>
    <mergeCell ref="K103:L103"/>
    <mergeCell ref="K104:L104"/>
    <mergeCell ref="M104:N104"/>
    <mergeCell ref="O104:P104"/>
    <mergeCell ref="B106:N106"/>
    <mergeCell ref="O106:P106"/>
    <mergeCell ref="O107:P107"/>
    <mergeCell ref="B107:N107"/>
    <mergeCell ref="B108:N108"/>
    <mergeCell ref="O108:P108"/>
    <mergeCell ref="J110:P110"/>
    <mergeCell ref="J111:K112"/>
    <mergeCell ref="L111:N111"/>
    <mergeCell ref="O111:P112"/>
    <mergeCell ref="B110:I112"/>
    <mergeCell ref="B113:I113"/>
    <mergeCell ref="J113:K113"/>
    <mergeCell ref="B114:I114"/>
    <mergeCell ref="B115:I115"/>
    <mergeCell ref="B116:I116"/>
    <mergeCell ref="J116:K116"/>
    <mergeCell ref="B131:G132"/>
    <mergeCell ref="B133:G133"/>
    <mergeCell ref="B134:G134"/>
    <mergeCell ref="B135:G135"/>
    <mergeCell ref="B136:G136"/>
    <mergeCell ref="B137:G137"/>
    <mergeCell ref="B138:G138"/>
    <mergeCell ref="H15:I15"/>
    <mergeCell ref="H16:I16"/>
    <mergeCell ref="J16:K16"/>
    <mergeCell ref="L16:N16"/>
    <mergeCell ref="O16:P16"/>
    <mergeCell ref="H17:I17"/>
    <mergeCell ref="J17:K17"/>
    <mergeCell ref="H18:I18"/>
    <mergeCell ref="J18:K18"/>
    <mergeCell ref="L18:N18"/>
    <mergeCell ref="O18:P18"/>
    <mergeCell ref="J19:K19"/>
    <mergeCell ref="L19:N19"/>
    <mergeCell ref="O19:P19"/>
    <mergeCell ref="B2:K2"/>
    <mergeCell ref="B3:L3"/>
    <mergeCell ref="B4:K4"/>
    <mergeCell ref="B5:K5"/>
    <mergeCell ref="B6:K6"/>
    <mergeCell ref="B7:K7"/>
    <mergeCell ref="B8:J8"/>
    <mergeCell ref="J13:K13"/>
    <mergeCell ref="L13:N13"/>
    <mergeCell ref="H9:I12"/>
    <mergeCell ref="J9:K12"/>
    <mergeCell ref="L9:P10"/>
    <mergeCell ref="L11:N12"/>
    <mergeCell ref="O11:P12"/>
    <mergeCell ref="H13:I13"/>
    <mergeCell ref="O13:P13"/>
    <mergeCell ref="H14:I14"/>
    <mergeCell ref="J14:K14"/>
    <mergeCell ref="L14:N14"/>
    <mergeCell ref="O14:P14"/>
    <mergeCell ref="J15:K15"/>
    <mergeCell ref="L15:N15"/>
    <mergeCell ref="O15:P15"/>
    <mergeCell ref="L17:N17"/>
    <mergeCell ref="O17:P17"/>
    <mergeCell ref="H19:I19"/>
    <mergeCell ref="H20:I20"/>
    <mergeCell ref="J20:K20"/>
    <mergeCell ref="L20:N20"/>
    <mergeCell ref="O20:P20"/>
    <mergeCell ref="B9:G12"/>
    <mergeCell ref="B14:G14"/>
    <mergeCell ref="B15:G15"/>
    <mergeCell ref="B16:G16"/>
    <mergeCell ref="B17:G17"/>
    <mergeCell ref="B18:G18"/>
    <mergeCell ref="B19:G19"/>
    <mergeCell ref="J28:K28"/>
    <mergeCell ref="L28:N28"/>
    <mergeCell ref="B27:G27"/>
    <mergeCell ref="H27:I27"/>
    <mergeCell ref="J27:K27"/>
    <mergeCell ref="L27:N27"/>
    <mergeCell ref="O27:P27"/>
    <mergeCell ref="H28:I28"/>
    <mergeCell ref="O28:P28"/>
    <mergeCell ref="L30:N30"/>
    <mergeCell ref="O30:P30"/>
    <mergeCell ref="B28:G28"/>
    <mergeCell ref="B29:G29"/>
    <mergeCell ref="H29:I29"/>
    <mergeCell ref="J29:K29"/>
    <mergeCell ref="L29:N29"/>
    <mergeCell ref="O29:P29"/>
    <mergeCell ref="B30:G30"/>
    <mergeCell ref="H22:I22"/>
    <mergeCell ref="J22:K22"/>
    <mergeCell ref="L22:N22"/>
    <mergeCell ref="O22:P22"/>
    <mergeCell ref="B20:G20"/>
    <mergeCell ref="B21:G21"/>
    <mergeCell ref="H21:I21"/>
    <mergeCell ref="J21:K21"/>
    <mergeCell ref="L21:N21"/>
    <mergeCell ref="O21:P21"/>
    <mergeCell ref="B22:G22"/>
    <mergeCell ref="J24:K24"/>
    <mergeCell ref="L24:N24"/>
    <mergeCell ref="L25:N25"/>
    <mergeCell ref="O25:P25"/>
    <mergeCell ref="L26:N26"/>
    <mergeCell ref="O26:P26"/>
    <mergeCell ref="B23:G23"/>
    <mergeCell ref="H23:I23"/>
    <mergeCell ref="J23:K23"/>
    <mergeCell ref="L23:N23"/>
    <mergeCell ref="O23:P23"/>
    <mergeCell ref="H24:I24"/>
    <mergeCell ref="O24:P24"/>
    <mergeCell ref="B24:G24"/>
    <mergeCell ref="B25:G25"/>
    <mergeCell ref="H25:I25"/>
    <mergeCell ref="J25:K25"/>
    <mergeCell ref="B26:G26"/>
    <mergeCell ref="H26:I26"/>
    <mergeCell ref="J26:K26"/>
    <mergeCell ref="H30:I30"/>
    <mergeCell ref="J30:K30"/>
    <mergeCell ref="B31:G31"/>
    <mergeCell ref="H31:I31"/>
    <mergeCell ref="J31:K31"/>
    <mergeCell ref="L31:N31"/>
    <mergeCell ref="O31:P31"/>
    <mergeCell ref="J33:K33"/>
    <mergeCell ref="L33:N33"/>
    <mergeCell ref="L34:N34"/>
    <mergeCell ref="O34:P34"/>
    <mergeCell ref="L35:N35"/>
    <mergeCell ref="O35:P35"/>
    <mergeCell ref="B32:G32"/>
    <mergeCell ref="H32:I32"/>
    <mergeCell ref="J32:K32"/>
    <mergeCell ref="L32:N32"/>
    <mergeCell ref="O32:P32"/>
    <mergeCell ref="H33:I33"/>
    <mergeCell ref="O33:P33"/>
    <mergeCell ref="B33:G33"/>
    <mergeCell ref="B34:G34"/>
    <mergeCell ref="H34:I34"/>
    <mergeCell ref="J34:K34"/>
    <mergeCell ref="B35:G35"/>
    <mergeCell ref="H35:I35"/>
    <mergeCell ref="J35:K35"/>
    <mergeCell ref="B37:G38"/>
    <mergeCell ref="H37:H38"/>
    <mergeCell ref="I37:I38"/>
    <mergeCell ref="J37:K37"/>
    <mergeCell ref="L37:M37"/>
    <mergeCell ref="N37:O37"/>
    <mergeCell ref="P37:P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H125:I125"/>
    <mergeCell ref="J125:K125"/>
    <mergeCell ref="B123:G123"/>
    <mergeCell ref="H123:I123"/>
    <mergeCell ref="J123:K123"/>
    <mergeCell ref="B124:G124"/>
    <mergeCell ref="H124:I124"/>
    <mergeCell ref="J124:K124"/>
    <mergeCell ref="B125:G1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5.57"/>
    <col customWidth="1" min="2" max="2" width="10.57"/>
    <col customWidth="1" min="3" max="3" width="81.71"/>
    <col customWidth="1" min="4" max="4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217.0</v>
      </c>
      <c r="B2" s="1">
        <v>1.0</v>
      </c>
      <c r="C2" s="1" t="s">
        <v>4</v>
      </c>
      <c r="D2" s="1" t="s">
        <v>5</v>
      </c>
      <c r="E2" s="1" t="s">
        <v>6</v>
      </c>
      <c r="F2" s="1" t="s">
        <v>7</v>
      </c>
    </row>
    <row r="3">
      <c r="A3" s="1">
        <v>217.0</v>
      </c>
      <c r="B3" s="1">
        <v>2.0</v>
      </c>
      <c r="C3" s="1" t="s">
        <v>8</v>
      </c>
      <c r="D3" s="1" t="s">
        <v>5</v>
      </c>
      <c r="E3" s="1" t="s">
        <v>6</v>
      </c>
      <c r="F3" s="1" t="s">
        <v>7</v>
      </c>
    </row>
    <row r="4">
      <c r="A4" s="1">
        <v>217.0</v>
      </c>
      <c r="B4" s="1">
        <v>3.0</v>
      </c>
      <c r="C4" s="1" t="s">
        <v>9</v>
      </c>
      <c r="D4" s="1" t="s">
        <v>5</v>
      </c>
      <c r="E4" s="1" t="s">
        <v>6</v>
      </c>
      <c r="F4" s="1" t="s">
        <v>7</v>
      </c>
    </row>
    <row r="5">
      <c r="A5" s="1">
        <v>217.0</v>
      </c>
      <c r="B5" s="1">
        <v>4.0</v>
      </c>
      <c r="C5" s="1" t="s">
        <v>10</v>
      </c>
      <c r="D5" s="1" t="s">
        <v>5</v>
      </c>
      <c r="E5" s="1" t="s">
        <v>6</v>
      </c>
      <c r="F5" s="1" t="s">
        <v>7</v>
      </c>
    </row>
    <row r="6">
      <c r="A6" s="1">
        <v>217.0</v>
      </c>
      <c r="B6" s="1">
        <v>5.0</v>
      </c>
      <c r="C6" s="1" t="s">
        <v>11</v>
      </c>
      <c r="D6" s="1" t="s">
        <v>5</v>
      </c>
      <c r="E6" s="1" t="s">
        <v>6</v>
      </c>
      <c r="F6" s="1" t="s">
        <v>7</v>
      </c>
    </row>
    <row r="7">
      <c r="A7" s="1">
        <v>217.0</v>
      </c>
      <c r="B7" s="1">
        <v>6.0</v>
      </c>
      <c r="C7" s="1" t="s">
        <v>12</v>
      </c>
      <c r="D7" s="1" t="s">
        <v>5</v>
      </c>
      <c r="E7" s="1" t="s">
        <v>6</v>
      </c>
      <c r="F7" s="1" t="s">
        <v>7</v>
      </c>
    </row>
    <row r="8">
      <c r="A8" s="1">
        <v>217.0</v>
      </c>
      <c r="B8" s="1">
        <v>7.0</v>
      </c>
      <c r="C8" s="1" t="s">
        <v>13</v>
      </c>
      <c r="D8" s="1" t="s">
        <v>5</v>
      </c>
      <c r="E8" s="1" t="s">
        <v>6</v>
      </c>
      <c r="F8" s="1" t="s">
        <v>7</v>
      </c>
    </row>
    <row r="9">
      <c r="A9" s="1">
        <v>217.0</v>
      </c>
      <c r="B9" s="1">
        <v>8.0</v>
      </c>
      <c r="C9" s="1" t="s">
        <v>14</v>
      </c>
      <c r="D9" s="1" t="s">
        <v>5</v>
      </c>
      <c r="E9" s="1" t="s">
        <v>6</v>
      </c>
      <c r="F9" s="1" t="s">
        <v>7</v>
      </c>
    </row>
    <row r="10">
      <c r="A10" s="1">
        <v>217.0</v>
      </c>
      <c r="B10" s="1">
        <v>9.0</v>
      </c>
      <c r="C10" s="1" t="s">
        <v>15</v>
      </c>
      <c r="D10" s="1" t="s">
        <v>5</v>
      </c>
      <c r="E10" s="1" t="s">
        <v>6</v>
      </c>
      <c r="F10" s="1" t="s">
        <v>7</v>
      </c>
    </row>
    <row r="11">
      <c r="A11" s="1">
        <v>217.0</v>
      </c>
      <c r="B11" s="1">
        <v>10.0</v>
      </c>
      <c r="C11" s="1" t="s">
        <v>16</v>
      </c>
      <c r="D11" s="1" t="s">
        <v>5</v>
      </c>
      <c r="E11" s="1" t="s">
        <v>6</v>
      </c>
      <c r="F11" s="1" t="s">
        <v>7</v>
      </c>
    </row>
    <row r="12">
      <c r="A12" s="1">
        <v>217.0</v>
      </c>
      <c r="B12" s="1">
        <v>11.0</v>
      </c>
      <c r="C12" s="1" t="s">
        <v>17</v>
      </c>
      <c r="D12" s="1" t="s">
        <v>5</v>
      </c>
      <c r="E12" s="1" t="s">
        <v>6</v>
      </c>
      <c r="F12" s="1" t="s">
        <v>7</v>
      </c>
    </row>
    <row r="13">
      <c r="A13" s="1">
        <v>217.0</v>
      </c>
      <c r="B13" s="1">
        <v>12.0</v>
      </c>
      <c r="C13" s="1" t="s">
        <v>18</v>
      </c>
      <c r="D13" s="1" t="s">
        <v>5</v>
      </c>
      <c r="E13" s="1" t="s">
        <v>6</v>
      </c>
      <c r="F13" s="1" t="s">
        <v>7</v>
      </c>
    </row>
    <row r="14">
      <c r="A14" s="1">
        <v>217.0</v>
      </c>
      <c r="B14" s="1">
        <v>13.0</v>
      </c>
      <c r="C14" s="1" t="s">
        <v>19</v>
      </c>
      <c r="D14" s="1" t="s">
        <v>5</v>
      </c>
      <c r="E14" s="1" t="s">
        <v>6</v>
      </c>
      <c r="F14" s="1" t="s">
        <v>7</v>
      </c>
    </row>
    <row r="15">
      <c r="A15" s="1">
        <v>217.0</v>
      </c>
      <c r="B15" s="1">
        <v>14.0</v>
      </c>
      <c r="C15" s="1" t="s">
        <v>20</v>
      </c>
      <c r="D15" s="1" t="s">
        <v>5</v>
      </c>
      <c r="E15" s="1" t="s">
        <v>6</v>
      </c>
      <c r="F15" s="1" t="s">
        <v>7</v>
      </c>
    </row>
    <row r="16">
      <c r="A16" s="1">
        <v>217.0</v>
      </c>
      <c r="B16" s="1">
        <v>15.0</v>
      </c>
      <c r="C16" s="1" t="s">
        <v>21</v>
      </c>
      <c r="D16" s="1" t="s">
        <v>5</v>
      </c>
      <c r="E16" s="1" t="s">
        <v>6</v>
      </c>
      <c r="F16" s="1" t="s">
        <v>7</v>
      </c>
    </row>
    <row r="17">
      <c r="A17" s="1">
        <v>217.0</v>
      </c>
      <c r="B17" s="1">
        <v>16.0</v>
      </c>
      <c r="C17" s="1" t="s">
        <v>22</v>
      </c>
      <c r="D17" s="1" t="s">
        <v>5</v>
      </c>
      <c r="E17" s="1" t="s">
        <v>6</v>
      </c>
      <c r="F17" s="1" t="s">
        <v>7</v>
      </c>
    </row>
    <row r="18">
      <c r="A18" s="1">
        <v>217.0</v>
      </c>
      <c r="B18" s="1">
        <v>17.0</v>
      </c>
      <c r="C18" s="1" t="s">
        <v>23</v>
      </c>
      <c r="D18" s="1" t="s">
        <v>5</v>
      </c>
      <c r="E18" s="1" t="s">
        <v>6</v>
      </c>
      <c r="F18" s="1" t="s">
        <v>7</v>
      </c>
    </row>
    <row r="19">
      <c r="A19" s="1">
        <v>217.0</v>
      </c>
      <c r="B19" s="1">
        <v>18.0</v>
      </c>
      <c r="C19" s="1" t="s">
        <v>24</v>
      </c>
      <c r="D19" s="1" t="s">
        <v>5</v>
      </c>
      <c r="E19" s="1" t="s">
        <v>6</v>
      </c>
      <c r="F19" s="1" t="s">
        <v>7</v>
      </c>
    </row>
    <row r="20">
      <c r="A20" s="1">
        <v>217.0</v>
      </c>
      <c r="B20" s="1">
        <v>19.0</v>
      </c>
      <c r="C20" s="1" t="s">
        <v>25</v>
      </c>
      <c r="D20" s="1" t="s">
        <v>5</v>
      </c>
      <c r="E20" s="1" t="s">
        <v>6</v>
      </c>
      <c r="F20" s="1" t="s">
        <v>7</v>
      </c>
    </row>
    <row r="21">
      <c r="A21" s="1">
        <v>217.0</v>
      </c>
      <c r="B21" s="1">
        <v>20.0</v>
      </c>
      <c r="C21" s="1" t="s">
        <v>26</v>
      </c>
      <c r="D21" s="1" t="s">
        <v>5</v>
      </c>
      <c r="E21" s="1" t="s">
        <v>6</v>
      </c>
      <c r="F21" s="1" t="s">
        <v>7</v>
      </c>
    </row>
    <row r="22">
      <c r="A22" s="1">
        <v>217.0</v>
      </c>
      <c r="B22" s="1">
        <v>21.0</v>
      </c>
      <c r="C22" s="1" t="s">
        <v>27</v>
      </c>
      <c r="D22" s="1" t="s">
        <v>5</v>
      </c>
      <c r="E22" s="1" t="s">
        <v>6</v>
      </c>
      <c r="F22" s="1" t="s">
        <v>7</v>
      </c>
    </row>
    <row r="23">
      <c r="A23" s="1">
        <v>217.0</v>
      </c>
      <c r="B23" s="1">
        <v>22.0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33</v>
      </c>
      <c r="I23" s="1" t="s">
        <v>34</v>
      </c>
    </row>
    <row r="24">
      <c r="A24" s="1">
        <v>217.0</v>
      </c>
      <c r="B24" s="1">
        <v>23.0</v>
      </c>
      <c r="C24" s="1" t="s">
        <v>35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33</v>
      </c>
      <c r="I24" s="1" t="s">
        <v>34</v>
      </c>
    </row>
    <row r="25">
      <c r="A25" s="1">
        <v>217.0</v>
      </c>
      <c r="B25" s="1">
        <v>24.0</v>
      </c>
      <c r="C25" s="1" t="s">
        <v>36</v>
      </c>
      <c r="D25" s="1" t="s">
        <v>29</v>
      </c>
      <c r="E25" s="1" t="s">
        <v>30</v>
      </c>
      <c r="F25" s="1" t="s">
        <v>31</v>
      </c>
      <c r="G25" s="1" t="s">
        <v>32</v>
      </c>
      <c r="H25" s="1" t="s">
        <v>33</v>
      </c>
      <c r="I25" s="1" t="s">
        <v>34</v>
      </c>
    </row>
    <row r="26">
      <c r="A26" s="1">
        <v>217.0</v>
      </c>
      <c r="B26" s="1">
        <v>25.0</v>
      </c>
      <c r="C26" s="1" t="s">
        <v>37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</row>
    <row r="27">
      <c r="A27" s="1">
        <v>217.0</v>
      </c>
      <c r="B27" s="1">
        <v>26.0</v>
      </c>
      <c r="C27" s="1" t="s">
        <v>35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33</v>
      </c>
      <c r="I27" s="1" t="s">
        <v>34</v>
      </c>
    </row>
    <row r="28">
      <c r="A28" s="1">
        <v>217.0</v>
      </c>
      <c r="B28" s="1">
        <v>28.0</v>
      </c>
      <c r="C28" s="1" t="s">
        <v>38</v>
      </c>
      <c r="D28" s="1" t="s">
        <v>29</v>
      </c>
      <c r="E28" s="1" t="s">
        <v>30</v>
      </c>
      <c r="F28" s="1" t="s">
        <v>31</v>
      </c>
      <c r="G28" s="1" t="s">
        <v>32</v>
      </c>
      <c r="H28" s="1" t="s">
        <v>33</v>
      </c>
      <c r="I28" s="1" t="s">
        <v>34</v>
      </c>
    </row>
    <row r="29">
      <c r="A29" s="1">
        <v>217.0</v>
      </c>
      <c r="B29" s="1">
        <v>29.0</v>
      </c>
      <c r="C29" s="1" t="s">
        <v>35</v>
      </c>
      <c r="D29" s="1" t="s">
        <v>29</v>
      </c>
      <c r="E29" s="1" t="s">
        <v>30</v>
      </c>
      <c r="F29" s="1" t="s">
        <v>31</v>
      </c>
      <c r="G29" s="1" t="s">
        <v>32</v>
      </c>
      <c r="H29" s="1" t="s">
        <v>33</v>
      </c>
      <c r="I29" s="1" t="s">
        <v>34</v>
      </c>
    </row>
    <row r="30">
      <c r="A30" s="1">
        <v>217.0</v>
      </c>
      <c r="B30" s="1">
        <v>30.0</v>
      </c>
      <c r="C30" s="1" t="s">
        <v>36</v>
      </c>
      <c r="D30" s="1" t="s">
        <v>29</v>
      </c>
      <c r="E30" s="1" t="s">
        <v>30</v>
      </c>
      <c r="F30" s="1" t="s">
        <v>31</v>
      </c>
      <c r="G30" s="1" t="s">
        <v>32</v>
      </c>
      <c r="H30" s="1" t="s">
        <v>33</v>
      </c>
      <c r="I30" s="1" t="s">
        <v>34</v>
      </c>
    </row>
    <row r="31">
      <c r="A31" s="1">
        <v>217.0</v>
      </c>
      <c r="B31" s="1">
        <v>31.0</v>
      </c>
      <c r="C31" s="1" t="s">
        <v>39</v>
      </c>
      <c r="D31" s="1" t="s">
        <v>29</v>
      </c>
      <c r="E31" s="1" t="s">
        <v>30</v>
      </c>
      <c r="F31" s="1" t="s">
        <v>31</v>
      </c>
      <c r="G31" s="1" t="s">
        <v>32</v>
      </c>
      <c r="H31" s="1" t="s">
        <v>33</v>
      </c>
      <c r="I31" s="1" t="s">
        <v>34</v>
      </c>
    </row>
    <row r="32">
      <c r="A32" s="1">
        <v>217.0</v>
      </c>
      <c r="B32" s="1">
        <v>32.0</v>
      </c>
      <c r="C32" s="1" t="s">
        <v>35</v>
      </c>
      <c r="D32" s="1" t="s">
        <v>29</v>
      </c>
      <c r="E32" s="1" t="s">
        <v>30</v>
      </c>
      <c r="F32" s="1" t="s">
        <v>31</v>
      </c>
      <c r="G32" s="1" t="s">
        <v>32</v>
      </c>
      <c r="H32" s="1" t="s">
        <v>33</v>
      </c>
      <c r="I32" s="1" t="s">
        <v>34</v>
      </c>
    </row>
    <row r="33">
      <c r="A33" s="1">
        <v>217.0</v>
      </c>
      <c r="B33" s="1">
        <v>33.0</v>
      </c>
      <c r="C33" s="1" t="s">
        <v>36</v>
      </c>
      <c r="D33" s="1" t="s">
        <v>29</v>
      </c>
      <c r="E33" s="1" t="s">
        <v>30</v>
      </c>
      <c r="F33" s="1" t="s">
        <v>31</v>
      </c>
      <c r="G33" s="1" t="s">
        <v>32</v>
      </c>
      <c r="H33" s="1" t="s">
        <v>33</v>
      </c>
      <c r="I33" s="1" t="s">
        <v>34</v>
      </c>
    </row>
    <row r="34">
      <c r="A34" s="1">
        <v>217.0</v>
      </c>
      <c r="B34" s="1">
        <v>34.0</v>
      </c>
      <c r="C34" s="1" t="s">
        <v>40</v>
      </c>
      <c r="D34" s="1" t="s">
        <v>29</v>
      </c>
      <c r="E34" s="1" t="s">
        <v>30</v>
      </c>
      <c r="F34" s="1" t="s">
        <v>31</v>
      </c>
      <c r="G34" s="1" t="s">
        <v>32</v>
      </c>
      <c r="H34" s="1" t="s">
        <v>33</v>
      </c>
      <c r="I34" s="1" t="s">
        <v>34</v>
      </c>
    </row>
    <row r="35">
      <c r="A35" s="1">
        <v>217.0</v>
      </c>
      <c r="B35" s="1">
        <v>35.0</v>
      </c>
      <c r="C35" s="1" t="s">
        <v>35</v>
      </c>
      <c r="D35" s="1" t="s">
        <v>29</v>
      </c>
      <c r="E35" s="1" t="s">
        <v>30</v>
      </c>
      <c r="F35" s="1" t="s">
        <v>31</v>
      </c>
      <c r="G35" s="1" t="s">
        <v>32</v>
      </c>
      <c r="H35" s="1" t="s">
        <v>33</v>
      </c>
      <c r="I35" s="1" t="s">
        <v>34</v>
      </c>
    </row>
    <row r="36">
      <c r="A36" s="1">
        <v>217.0</v>
      </c>
      <c r="B36" s="1">
        <v>36.0</v>
      </c>
      <c r="C36" s="1" t="s">
        <v>36</v>
      </c>
      <c r="D36" s="1" t="s">
        <v>29</v>
      </c>
      <c r="E36" s="1" t="s">
        <v>30</v>
      </c>
      <c r="F36" s="1" t="s">
        <v>31</v>
      </c>
      <c r="G36" s="1" t="s">
        <v>32</v>
      </c>
      <c r="H36" s="1" t="s">
        <v>33</v>
      </c>
      <c r="I36" s="1" t="s">
        <v>34</v>
      </c>
    </row>
    <row r="37">
      <c r="A37" s="1">
        <v>217.0</v>
      </c>
      <c r="B37" s="1">
        <v>37.0</v>
      </c>
      <c r="C37" s="1" t="s">
        <v>41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33</v>
      </c>
      <c r="I37" s="1" t="s">
        <v>34</v>
      </c>
    </row>
    <row r="38">
      <c r="A38" s="1">
        <v>217.0</v>
      </c>
      <c r="B38" s="1">
        <v>38.0</v>
      </c>
      <c r="C38" s="1" t="s">
        <v>35</v>
      </c>
      <c r="D38" s="1" t="s">
        <v>29</v>
      </c>
      <c r="E38" s="1" t="s">
        <v>30</v>
      </c>
      <c r="F38" s="1" t="s">
        <v>31</v>
      </c>
      <c r="G38" s="1" t="s">
        <v>32</v>
      </c>
      <c r="H38" s="1" t="s">
        <v>33</v>
      </c>
      <c r="I38" s="1" t="s">
        <v>34</v>
      </c>
    </row>
    <row r="39">
      <c r="A39" s="1">
        <v>217.0</v>
      </c>
      <c r="B39" s="1">
        <v>39.0</v>
      </c>
      <c r="C39" s="1" t="s">
        <v>36</v>
      </c>
      <c r="D39" s="1" t="s">
        <v>29</v>
      </c>
      <c r="E39" s="1" t="s">
        <v>30</v>
      </c>
      <c r="F39" s="1" t="s">
        <v>31</v>
      </c>
      <c r="G39" s="1" t="s">
        <v>32</v>
      </c>
      <c r="H39" s="1" t="s">
        <v>33</v>
      </c>
      <c r="I39" s="1" t="s">
        <v>34</v>
      </c>
    </row>
    <row r="40">
      <c r="A40" s="1">
        <v>217.0</v>
      </c>
      <c r="B40" s="1">
        <v>40.0</v>
      </c>
      <c r="C40" s="1" t="s">
        <v>42</v>
      </c>
      <c r="D40" s="1" t="s">
        <v>29</v>
      </c>
      <c r="E40" s="1" t="s">
        <v>30</v>
      </c>
      <c r="F40" s="1" t="s">
        <v>31</v>
      </c>
      <c r="G40" s="1" t="s">
        <v>32</v>
      </c>
      <c r="H40" s="1" t="s">
        <v>33</v>
      </c>
      <c r="I40" s="1" t="s">
        <v>34</v>
      </c>
    </row>
    <row r="41">
      <c r="A41" s="1">
        <v>217.0</v>
      </c>
      <c r="B41" s="1">
        <v>41.0</v>
      </c>
      <c r="C41" s="1" t="s">
        <v>35</v>
      </c>
      <c r="D41" s="1" t="s">
        <v>29</v>
      </c>
      <c r="E41" s="1" t="s">
        <v>30</v>
      </c>
      <c r="F41" s="1" t="s">
        <v>31</v>
      </c>
      <c r="G41" s="1" t="s">
        <v>32</v>
      </c>
      <c r="H41" s="1" t="s">
        <v>33</v>
      </c>
      <c r="I41" s="1" t="s">
        <v>34</v>
      </c>
    </row>
    <row r="42">
      <c r="A42" s="1">
        <v>217.0</v>
      </c>
      <c r="B42" s="1">
        <v>42.0</v>
      </c>
      <c r="C42" s="1" t="s">
        <v>36</v>
      </c>
      <c r="D42" s="1" t="s">
        <v>29</v>
      </c>
      <c r="E42" s="1" t="s">
        <v>30</v>
      </c>
      <c r="F42" s="1" t="s">
        <v>31</v>
      </c>
      <c r="G42" s="1" t="s">
        <v>32</v>
      </c>
      <c r="H42" s="1" t="s">
        <v>33</v>
      </c>
      <c r="I42" s="1" t="s">
        <v>34</v>
      </c>
    </row>
    <row r="43">
      <c r="A43" s="1">
        <v>217.0</v>
      </c>
      <c r="B43" s="1">
        <v>43.0</v>
      </c>
      <c r="C43" s="1" t="s">
        <v>43</v>
      </c>
      <c r="D43" s="1" t="s">
        <v>29</v>
      </c>
      <c r="E43" s="1" t="s">
        <v>30</v>
      </c>
      <c r="F43" s="1" t="s">
        <v>31</v>
      </c>
      <c r="G43" s="1" t="s">
        <v>32</v>
      </c>
      <c r="H43" s="1" t="s">
        <v>33</v>
      </c>
      <c r="I43" s="1" t="s">
        <v>34</v>
      </c>
    </row>
    <row r="44">
      <c r="A44" s="1">
        <v>217.0</v>
      </c>
      <c r="B44" s="1">
        <v>44.0</v>
      </c>
      <c r="C44" s="1" t="s">
        <v>44</v>
      </c>
      <c r="D44" s="1" t="s">
        <v>31</v>
      </c>
      <c r="E44" s="1" t="s">
        <v>32</v>
      </c>
      <c r="F44" s="1" t="s">
        <v>33</v>
      </c>
    </row>
    <row r="45">
      <c r="A45" s="1">
        <v>217.0</v>
      </c>
      <c r="B45" s="1">
        <v>48.0</v>
      </c>
      <c r="C45" s="1" t="s">
        <v>45</v>
      </c>
      <c r="D45" s="1" t="s">
        <v>31</v>
      </c>
      <c r="E45" s="1" t="s">
        <v>32</v>
      </c>
      <c r="F45" s="1" t="s">
        <v>33</v>
      </c>
    </row>
    <row r="46">
      <c r="A46" s="1">
        <v>217.0</v>
      </c>
      <c r="B46" s="1">
        <v>49.0</v>
      </c>
      <c r="C46" s="1" t="s">
        <v>46</v>
      </c>
      <c r="D46" s="1" t="s">
        <v>47</v>
      </c>
    </row>
    <row r="47">
      <c r="A47" s="1">
        <v>217.0</v>
      </c>
      <c r="B47" s="1">
        <v>50.0</v>
      </c>
      <c r="C47" s="1" t="s">
        <v>48</v>
      </c>
      <c r="D47" s="1" t="s">
        <v>47</v>
      </c>
    </row>
    <row r="48">
      <c r="A48" s="1">
        <v>217.0</v>
      </c>
      <c r="B48" s="1">
        <v>51.0</v>
      </c>
      <c r="C48" s="1" t="s">
        <v>49</v>
      </c>
      <c r="D48" s="1" t="s">
        <v>47</v>
      </c>
    </row>
    <row r="49">
      <c r="A49" s="1">
        <v>217.0</v>
      </c>
      <c r="B49" s="1">
        <v>52.0</v>
      </c>
      <c r="C49" s="1" t="s">
        <v>50</v>
      </c>
      <c r="D49" s="1" t="s">
        <v>47</v>
      </c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>
        <v>217.0</v>
      </c>
      <c r="B51" s="1">
        <v>54.0</v>
      </c>
      <c r="C51" s="1" t="s">
        <v>51</v>
      </c>
      <c r="D51" s="1" t="s">
        <v>52</v>
      </c>
      <c r="E51" s="1" t="s">
        <v>31</v>
      </c>
      <c r="F51" s="1" t="s">
        <v>32</v>
      </c>
      <c r="G51" s="1" t="s">
        <v>33</v>
      </c>
      <c r="H51" s="1" t="s">
        <v>53</v>
      </c>
    </row>
    <row r="52">
      <c r="A52" s="1">
        <v>217.0</v>
      </c>
      <c r="B52" s="1">
        <v>55.0</v>
      </c>
      <c r="C52" s="1" t="s">
        <v>54</v>
      </c>
      <c r="D52" s="1" t="s">
        <v>52</v>
      </c>
      <c r="E52" s="1" t="s">
        <v>31</v>
      </c>
      <c r="F52" s="1" t="s">
        <v>32</v>
      </c>
      <c r="G52" s="1" t="s">
        <v>33</v>
      </c>
      <c r="H52" s="1" t="s">
        <v>53</v>
      </c>
    </row>
    <row r="53">
      <c r="A53" s="1">
        <v>217.0</v>
      </c>
      <c r="B53" s="1">
        <v>56.0</v>
      </c>
      <c r="C53" s="1" t="s">
        <v>55</v>
      </c>
      <c r="D53" s="1" t="s">
        <v>52</v>
      </c>
      <c r="E53" s="1" t="s">
        <v>31</v>
      </c>
      <c r="F53" s="1" t="s">
        <v>32</v>
      </c>
      <c r="G53" s="1" t="s">
        <v>33</v>
      </c>
      <c r="H53" s="1" t="s">
        <v>53</v>
      </c>
    </row>
    <row r="54">
      <c r="A54" s="1">
        <v>217.0</v>
      </c>
      <c r="B54" s="1">
        <v>57.0</v>
      </c>
      <c r="C54" s="1" t="s">
        <v>56</v>
      </c>
      <c r="D54" s="1" t="s">
        <v>52</v>
      </c>
      <c r="E54" s="1" t="s">
        <v>31</v>
      </c>
      <c r="F54" s="1" t="s">
        <v>32</v>
      </c>
      <c r="G54" s="1" t="s">
        <v>33</v>
      </c>
      <c r="H54" s="1" t="s">
        <v>53</v>
      </c>
    </row>
    <row r="55">
      <c r="A55" s="1">
        <v>217.0</v>
      </c>
      <c r="B55" s="1">
        <v>58.0</v>
      </c>
      <c r="C55" s="1" t="s">
        <v>57</v>
      </c>
      <c r="D55" s="1" t="s">
        <v>58</v>
      </c>
      <c r="E55" s="1" t="s">
        <v>59</v>
      </c>
      <c r="F55" s="1" t="s">
        <v>60</v>
      </c>
      <c r="G55" s="1" t="s">
        <v>61</v>
      </c>
      <c r="H55" s="1" t="s">
        <v>62</v>
      </c>
      <c r="I55" s="1" t="s">
        <v>63</v>
      </c>
      <c r="J55" s="1" t="s">
        <v>64</v>
      </c>
      <c r="K55" s="1" t="s">
        <v>65</v>
      </c>
      <c r="L55" s="1" t="s">
        <v>66</v>
      </c>
      <c r="M55" s="1" t="s">
        <v>67</v>
      </c>
    </row>
    <row r="56">
      <c r="A56" s="1">
        <v>217.0</v>
      </c>
      <c r="B56" s="1">
        <v>59.0</v>
      </c>
      <c r="C56" s="1" t="s">
        <v>68</v>
      </c>
      <c r="D56" s="1" t="s">
        <v>58</v>
      </c>
      <c r="E56" s="1" t="s">
        <v>59</v>
      </c>
      <c r="F56" s="1" t="s">
        <v>60</v>
      </c>
      <c r="G56" s="1" t="s">
        <v>61</v>
      </c>
      <c r="H56" s="1" t="s">
        <v>62</v>
      </c>
      <c r="I56" s="1" t="s">
        <v>63</v>
      </c>
      <c r="J56" s="1" t="s">
        <v>64</v>
      </c>
      <c r="K56" s="1" t="s">
        <v>65</v>
      </c>
      <c r="L56" s="1" t="s">
        <v>66</v>
      </c>
      <c r="M56" s="1" t="s">
        <v>67</v>
      </c>
    </row>
    <row r="57">
      <c r="A57" s="1">
        <v>217.0</v>
      </c>
      <c r="B57" s="1">
        <v>60.0</v>
      </c>
      <c r="C57" s="1" t="s">
        <v>69</v>
      </c>
      <c r="D57" s="1" t="s">
        <v>58</v>
      </c>
      <c r="E57" s="1" t="s">
        <v>59</v>
      </c>
      <c r="F57" s="1" t="s">
        <v>60</v>
      </c>
      <c r="G57" s="1" t="s">
        <v>61</v>
      </c>
      <c r="H57" s="1" t="s">
        <v>62</v>
      </c>
      <c r="I57" s="1" t="s">
        <v>63</v>
      </c>
      <c r="J57" s="1" t="s">
        <v>64</v>
      </c>
      <c r="K57" s="1" t="s">
        <v>65</v>
      </c>
      <c r="L57" s="1" t="s">
        <v>66</v>
      </c>
      <c r="M57" s="1" t="s">
        <v>67</v>
      </c>
    </row>
    <row r="58">
      <c r="A58" s="1">
        <v>217.0</v>
      </c>
      <c r="B58" s="1">
        <v>61.0</v>
      </c>
      <c r="C58" s="1" t="s">
        <v>70</v>
      </c>
      <c r="D58" s="1" t="s">
        <v>58</v>
      </c>
      <c r="E58" s="1" t="s">
        <v>59</v>
      </c>
      <c r="F58" s="1" t="s">
        <v>60</v>
      </c>
      <c r="G58" s="1" t="s">
        <v>61</v>
      </c>
      <c r="H58" s="1" t="s">
        <v>62</v>
      </c>
      <c r="I58" s="1" t="s">
        <v>63</v>
      </c>
      <c r="J58" s="1" t="s">
        <v>64</v>
      </c>
      <c r="K58" s="1" t="s">
        <v>65</v>
      </c>
      <c r="L58" s="1" t="s">
        <v>66</v>
      </c>
      <c r="M58" s="1" t="s">
        <v>67</v>
      </c>
    </row>
    <row r="59">
      <c r="A59" s="1">
        <v>217.0</v>
      </c>
      <c r="B59" s="1">
        <v>62.0</v>
      </c>
      <c r="C59" s="1" t="s">
        <v>71</v>
      </c>
      <c r="D59" s="1" t="s">
        <v>47</v>
      </c>
    </row>
    <row r="60">
      <c r="A60" s="1">
        <v>217.0</v>
      </c>
      <c r="B60" s="1">
        <v>63.0</v>
      </c>
      <c r="C60" s="1" t="s">
        <v>72</v>
      </c>
      <c r="D60" s="1" t="s">
        <v>47</v>
      </c>
    </row>
    <row r="61">
      <c r="A61" s="1">
        <v>217.0</v>
      </c>
      <c r="B61" s="1">
        <v>64.0</v>
      </c>
      <c r="C61" s="1" t="s">
        <v>73</v>
      </c>
      <c r="D61" s="1" t="s">
        <v>47</v>
      </c>
    </row>
    <row r="62">
      <c r="A62" s="1">
        <v>217.0</v>
      </c>
      <c r="B62" s="1">
        <v>66.0</v>
      </c>
      <c r="C62" s="1" t="s">
        <v>74</v>
      </c>
      <c r="D62" s="1" t="s">
        <v>52</v>
      </c>
      <c r="E62" s="1" t="s">
        <v>31</v>
      </c>
      <c r="F62" s="1" t="s">
        <v>32</v>
      </c>
      <c r="G62" s="1" t="s">
        <v>33</v>
      </c>
      <c r="H62" s="1" t="s">
        <v>53</v>
      </c>
    </row>
    <row r="63">
      <c r="A63" s="1">
        <v>217.0</v>
      </c>
      <c r="B63" s="1">
        <v>67.0</v>
      </c>
      <c r="C63" s="1" t="s">
        <v>75</v>
      </c>
      <c r="D63" s="1" t="s">
        <v>52</v>
      </c>
      <c r="E63" s="1" t="s">
        <v>31</v>
      </c>
      <c r="F63" s="1" t="s">
        <v>32</v>
      </c>
      <c r="G63" s="1" t="s">
        <v>33</v>
      </c>
      <c r="H63" s="1" t="s">
        <v>53</v>
      </c>
    </row>
    <row r="64">
      <c r="A64" s="1">
        <v>217.0</v>
      </c>
      <c r="B64" s="1">
        <v>68.0</v>
      </c>
      <c r="C64" s="1" t="s">
        <v>76</v>
      </c>
      <c r="D64" s="1" t="s">
        <v>52</v>
      </c>
      <c r="E64" s="1" t="s">
        <v>31</v>
      </c>
      <c r="F64" s="1" t="s">
        <v>32</v>
      </c>
      <c r="G64" s="1" t="s">
        <v>33</v>
      </c>
      <c r="H64" s="1" t="s">
        <v>53</v>
      </c>
    </row>
    <row r="65">
      <c r="A65" s="1">
        <v>217.0</v>
      </c>
      <c r="B65" s="1">
        <v>69.0</v>
      </c>
      <c r="C65" s="1" t="s">
        <v>77</v>
      </c>
      <c r="D65" s="1" t="s">
        <v>5</v>
      </c>
      <c r="E65" s="1" t="s">
        <v>6</v>
      </c>
      <c r="F65" s="1" t="s">
        <v>7</v>
      </c>
    </row>
    <row r="66">
      <c r="A66" s="1">
        <v>217.0</v>
      </c>
      <c r="B66" s="1">
        <v>70.0</v>
      </c>
      <c r="C66" s="1" t="s">
        <v>78</v>
      </c>
      <c r="D66" s="1" t="s">
        <v>5</v>
      </c>
      <c r="E66" s="1" t="s">
        <v>6</v>
      </c>
      <c r="F66" s="1" t="s">
        <v>7</v>
      </c>
    </row>
    <row r="67">
      <c r="A67" s="1">
        <v>217.0</v>
      </c>
      <c r="B67" s="1">
        <v>71.0</v>
      </c>
      <c r="C67" s="1" t="s">
        <v>79</v>
      </c>
      <c r="D67" s="1" t="s">
        <v>5</v>
      </c>
      <c r="E67" s="1" t="s">
        <v>6</v>
      </c>
      <c r="F67" s="1" t="s">
        <v>7</v>
      </c>
    </row>
    <row r="68">
      <c r="A68" s="1">
        <v>217.0</v>
      </c>
      <c r="B68" s="1">
        <v>72.0</v>
      </c>
      <c r="C68" s="1" t="s">
        <v>80</v>
      </c>
      <c r="D68" s="1" t="s">
        <v>5</v>
      </c>
      <c r="E68" s="1" t="s">
        <v>6</v>
      </c>
      <c r="F68" s="1" t="s">
        <v>7</v>
      </c>
    </row>
    <row r="69">
      <c r="A69" s="1">
        <v>217.0</v>
      </c>
      <c r="B69" s="1">
        <v>73.0</v>
      </c>
      <c r="C69" s="1" t="s">
        <v>81</v>
      </c>
      <c r="D69" s="1" t="s">
        <v>5</v>
      </c>
      <c r="E69" s="1" t="s">
        <v>6</v>
      </c>
      <c r="F69" s="1" t="s">
        <v>7</v>
      </c>
    </row>
    <row r="70">
      <c r="A70" s="1">
        <v>217.0</v>
      </c>
      <c r="B70" s="1">
        <v>74.0</v>
      </c>
      <c r="C70" s="1" t="s">
        <v>82</v>
      </c>
      <c r="D70" s="1" t="s">
        <v>5</v>
      </c>
      <c r="E70" s="1" t="s">
        <v>6</v>
      </c>
      <c r="F70" s="1" t="s">
        <v>7</v>
      </c>
    </row>
    <row r="71">
      <c r="A71" s="1">
        <v>217.0</v>
      </c>
      <c r="B71" s="1">
        <v>75.0</v>
      </c>
      <c r="C71" s="1" t="s">
        <v>83</v>
      </c>
      <c r="D71" s="1" t="s">
        <v>5</v>
      </c>
      <c r="E71" s="1" t="s">
        <v>6</v>
      </c>
      <c r="F71" s="1" t="s">
        <v>7</v>
      </c>
    </row>
    <row r="72">
      <c r="A72" s="1">
        <v>217.0</v>
      </c>
      <c r="B72" s="1">
        <v>76.0</v>
      </c>
      <c r="C72" s="1" t="s">
        <v>84</v>
      </c>
      <c r="D72" s="1" t="s">
        <v>29</v>
      </c>
      <c r="E72" s="1" t="s">
        <v>30</v>
      </c>
      <c r="F72" s="1" t="s">
        <v>31</v>
      </c>
      <c r="G72" s="1" t="s">
        <v>32</v>
      </c>
      <c r="H72" s="1" t="s">
        <v>33</v>
      </c>
      <c r="I72" s="1" t="s">
        <v>34</v>
      </c>
    </row>
    <row r="73">
      <c r="A73" s="1">
        <v>217.0</v>
      </c>
      <c r="B73" s="1">
        <v>77.0</v>
      </c>
      <c r="C73" s="1" t="s">
        <v>35</v>
      </c>
      <c r="D73" s="1" t="s">
        <v>29</v>
      </c>
      <c r="E73" s="1" t="s">
        <v>30</v>
      </c>
      <c r="F73" s="1" t="s">
        <v>31</v>
      </c>
      <c r="G73" s="1" t="s">
        <v>32</v>
      </c>
      <c r="H73" s="1" t="s">
        <v>33</v>
      </c>
      <c r="I73" s="1" t="s">
        <v>34</v>
      </c>
    </row>
    <row r="74">
      <c r="A74" s="1">
        <v>217.0</v>
      </c>
      <c r="B74" s="1">
        <v>78.0</v>
      </c>
      <c r="C74" s="1" t="s">
        <v>36</v>
      </c>
      <c r="D74" s="1" t="s">
        <v>29</v>
      </c>
      <c r="E74" s="1" t="s">
        <v>30</v>
      </c>
      <c r="F74" s="1" t="s">
        <v>31</v>
      </c>
      <c r="G74" s="1" t="s">
        <v>32</v>
      </c>
      <c r="H74" s="1" t="s">
        <v>33</v>
      </c>
      <c r="I74" s="1" t="s">
        <v>34</v>
      </c>
    </row>
    <row r="75">
      <c r="A75" s="1">
        <v>217.0</v>
      </c>
      <c r="B75" s="1">
        <v>79.0</v>
      </c>
      <c r="C75" s="1" t="s">
        <v>85</v>
      </c>
      <c r="D75" s="1" t="s">
        <v>29</v>
      </c>
      <c r="E75" s="1" t="s">
        <v>30</v>
      </c>
      <c r="F75" s="1" t="s">
        <v>31</v>
      </c>
      <c r="G75" s="1" t="s">
        <v>32</v>
      </c>
      <c r="H75" s="1" t="s">
        <v>33</v>
      </c>
      <c r="I75" s="1" t="s">
        <v>34</v>
      </c>
    </row>
    <row r="76">
      <c r="A76" s="1">
        <v>217.0</v>
      </c>
      <c r="B76" s="1">
        <v>80.0</v>
      </c>
      <c r="C76" s="1" t="s">
        <v>35</v>
      </c>
      <c r="D76" s="1" t="s">
        <v>29</v>
      </c>
      <c r="E76" s="1" t="s">
        <v>30</v>
      </c>
      <c r="F76" s="1" t="s">
        <v>31</v>
      </c>
      <c r="G76" s="1" t="s">
        <v>32</v>
      </c>
      <c r="H76" s="1" t="s">
        <v>33</v>
      </c>
      <c r="I76" s="1" t="s">
        <v>34</v>
      </c>
    </row>
    <row r="77">
      <c r="A77" s="1">
        <v>217.0</v>
      </c>
      <c r="B77" s="1">
        <v>82.0</v>
      </c>
      <c r="C77" s="1" t="s">
        <v>86</v>
      </c>
      <c r="D77" s="1" t="s">
        <v>29</v>
      </c>
      <c r="E77" s="1" t="s">
        <v>30</v>
      </c>
      <c r="F77" s="1" t="s">
        <v>31</v>
      </c>
      <c r="G77" s="1" t="s">
        <v>32</v>
      </c>
      <c r="H77" s="1" t="s">
        <v>33</v>
      </c>
      <c r="I77" s="1" t="s">
        <v>34</v>
      </c>
    </row>
    <row r="78">
      <c r="A78" s="1">
        <v>217.0</v>
      </c>
      <c r="B78" s="1">
        <v>83.0</v>
      </c>
      <c r="C78" s="1" t="s">
        <v>35</v>
      </c>
      <c r="D78" s="1" t="s">
        <v>29</v>
      </c>
      <c r="E78" s="1" t="s">
        <v>30</v>
      </c>
      <c r="F78" s="1" t="s">
        <v>31</v>
      </c>
      <c r="G78" s="1" t="s">
        <v>32</v>
      </c>
      <c r="H78" s="1" t="s">
        <v>33</v>
      </c>
      <c r="I78" s="1" t="s">
        <v>34</v>
      </c>
    </row>
    <row r="79">
      <c r="A79" s="1">
        <v>217.0</v>
      </c>
      <c r="B79" s="1">
        <v>84.0</v>
      </c>
      <c r="C79" s="1" t="s">
        <v>36</v>
      </c>
      <c r="D79" s="1" t="s">
        <v>29</v>
      </c>
      <c r="E79" s="1" t="s">
        <v>30</v>
      </c>
      <c r="F79" s="1" t="s">
        <v>31</v>
      </c>
      <c r="G79" s="1" t="s">
        <v>32</v>
      </c>
      <c r="H79" s="1" t="s">
        <v>33</v>
      </c>
      <c r="I79" s="1" t="s">
        <v>34</v>
      </c>
    </row>
    <row r="80">
      <c r="A80" s="1">
        <v>217.0</v>
      </c>
      <c r="B80" s="1">
        <v>85.0</v>
      </c>
      <c r="C80" s="1" t="s">
        <v>87</v>
      </c>
      <c r="D80" s="1" t="s">
        <v>29</v>
      </c>
      <c r="E80" s="1" t="s">
        <v>30</v>
      </c>
      <c r="F80" s="1" t="s">
        <v>31</v>
      </c>
      <c r="G80" s="1" t="s">
        <v>32</v>
      </c>
      <c r="H80" s="1" t="s">
        <v>33</v>
      </c>
      <c r="I80" s="1" t="s">
        <v>34</v>
      </c>
    </row>
    <row r="81">
      <c r="A81" s="1">
        <v>217.0</v>
      </c>
      <c r="B81" s="1">
        <v>86.0</v>
      </c>
      <c r="C81" s="1" t="s">
        <v>35</v>
      </c>
      <c r="D81" s="1" t="s">
        <v>29</v>
      </c>
      <c r="E81" s="1" t="s">
        <v>30</v>
      </c>
      <c r="F81" s="1" t="s">
        <v>31</v>
      </c>
      <c r="G81" s="1" t="s">
        <v>32</v>
      </c>
      <c r="H81" s="1" t="s">
        <v>33</v>
      </c>
      <c r="I81" s="1" t="s">
        <v>34</v>
      </c>
    </row>
    <row r="82">
      <c r="A82" s="1">
        <v>217.0</v>
      </c>
      <c r="B82" s="1">
        <v>87.0</v>
      </c>
      <c r="C82" s="1" t="s">
        <v>36</v>
      </c>
      <c r="D82" s="1" t="s">
        <v>29</v>
      </c>
      <c r="E82" s="1" t="s">
        <v>30</v>
      </c>
      <c r="F82" s="1" t="s">
        <v>31</v>
      </c>
      <c r="G82" s="1" t="s">
        <v>32</v>
      </c>
      <c r="H82" s="1" t="s">
        <v>33</v>
      </c>
      <c r="I82" s="1" t="s">
        <v>34</v>
      </c>
    </row>
    <row r="83">
      <c r="A83" s="1">
        <v>217.0</v>
      </c>
      <c r="B83" s="1">
        <v>88.0</v>
      </c>
      <c r="C83" s="1" t="s">
        <v>88</v>
      </c>
      <c r="D83" s="1" t="s">
        <v>29</v>
      </c>
      <c r="E83" s="1" t="s">
        <v>30</v>
      </c>
      <c r="F83" s="1" t="s">
        <v>31</v>
      </c>
      <c r="G83" s="1" t="s">
        <v>32</v>
      </c>
      <c r="H83" s="1" t="s">
        <v>33</v>
      </c>
      <c r="I83" s="1" t="s">
        <v>34</v>
      </c>
    </row>
    <row r="84">
      <c r="A84" s="1">
        <v>217.0</v>
      </c>
      <c r="B84" s="1">
        <v>89.0</v>
      </c>
      <c r="C84" s="1" t="s">
        <v>35</v>
      </c>
      <c r="D84" s="1" t="s">
        <v>29</v>
      </c>
      <c r="E84" s="1" t="s">
        <v>30</v>
      </c>
      <c r="F84" s="1" t="s">
        <v>31</v>
      </c>
      <c r="G84" s="1" t="s">
        <v>32</v>
      </c>
      <c r="H84" s="1" t="s">
        <v>33</v>
      </c>
      <c r="I84" s="1" t="s">
        <v>34</v>
      </c>
    </row>
    <row r="85">
      <c r="A85" s="1">
        <v>217.0</v>
      </c>
      <c r="B85" s="1">
        <v>90.0</v>
      </c>
      <c r="C85" s="1" t="s">
        <v>36</v>
      </c>
      <c r="D85" s="1" t="s">
        <v>29</v>
      </c>
      <c r="E85" s="1" t="s">
        <v>30</v>
      </c>
      <c r="F85" s="1" t="s">
        <v>31</v>
      </c>
      <c r="G85" s="1" t="s">
        <v>32</v>
      </c>
      <c r="H85" s="1" t="s">
        <v>33</v>
      </c>
      <c r="I85" s="1" t="s">
        <v>34</v>
      </c>
    </row>
    <row r="86">
      <c r="A86" s="1">
        <v>217.0</v>
      </c>
      <c r="B86" s="1">
        <v>91.0</v>
      </c>
      <c r="C86" s="1" t="s">
        <v>89</v>
      </c>
      <c r="D86" s="1" t="s">
        <v>29</v>
      </c>
      <c r="E86" s="1" t="s">
        <v>30</v>
      </c>
      <c r="F86" s="1" t="s">
        <v>31</v>
      </c>
      <c r="G86" s="1" t="s">
        <v>32</v>
      </c>
      <c r="H86" s="1" t="s">
        <v>33</v>
      </c>
      <c r="I86" s="1" t="s">
        <v>34</v>
      </c>
    </row>
    <row r="87">
      <c r="A87" s="1">
        <v>217.0</v>
      </c>
      <c r="B87" s="1">
        <v>92.0</v>
      </c>
      <c r="C87" s="1" t="s">
        <v>35</v>
      </c>
      <c r="D87" s="1" t="s">
        <v>29</v>
      </c>
      <c r="E87" s="1" t="s">
        <v>30</v>
      </c>
      <c r="F87" s="1" t="s">
        <v>31</v>
      </c>
      <c r="G87" s="1" t="s">
        <v>32</v>
      </c>
      <c r="H87" s="1" t="s">
        <v>33</v>
      </c>
      <c r="I87" s="1" t="s">
        <v>34</v>
      </c>
    </row>
    <row r="88">
      <c r="A88" s="1">
        <v>217.0</v>
      </c>
      <c r="B88" s="1">
        <v>93.0</v>
      </c>
      <c r="C88" s="1" t="s">
        <v>36</v>
      </c>
      <c r="D88" s="1" t="s">
        <v>29</v>
      </c>
      <c r="E88" s="1" t="s">
        <v>30</v>
      </c>
      <c r="F88" s="1" t="s">
        <v>31</v>
      </c>
      <c r="G88" s="1" t="s">
        <v>32</v>
      </c>
      <c r="H88" s="1" t="s">
        <v>33</v>
      </c>
      <c r="I88" s="1" t="s">
        <v>34</v>
      </c>
    </row>
    <row r="89">
      <c r="A89" s="1">
        <v>217.0</v>
      </c>
      <c r="B89" s="1">
        <v>94.0</v>
      </c>
      <c r="C89" s="1" t="s">
        <v>90</v>
      </c>
      <c r="D89" s="1" t="s">
        <v>29</v>
      </c>
      <c r="E89" s="1" t="s">
        <v>30</v>
      </c>
      <c r="F89" s="1" t="s">
        <v>31</v>
      </c>
      <c r="G89" s="1" t="s">
        <v>32</v>
      </c>
      <c r="H89" s="1" t="s">
        <v>33</v>
      </c>
      <c r="I89" s="1" t="s">
        <v>34</v>
      </c>
    </row>
    <row r="90">
      <c r="A90" s="1">
        <v>217.0</v>
      </c>
      <c r="B90" s="1">
        <v>97.0</v>
      </c>
      <c r="C90" s="1" t="s">
        <v>91</v>
      </c>
      <c r="D90" s="1" t="s">
        <v>29</v>
      </c>
      <c r="E90" s="1" t="s">
        <v>30</v>
      </c>
      <c r="F90" s="1" t="s">
        <v>31</v>
      </c>
      <c r="G90" s="1" t="s">
        <v>32</v>
      </c>
      <c r="H90" s="1" t="s">
        <v>33</v>
      </c>
      <c r="I90" s="1" t="s">
        <v>34</v>
      </c>
    </row>
    <row r="91">
      <c r="A91" s="1">
        <v>217.0</v>
      </c>
      <c r="B91" s="1">
        <v>98.0</v>
      </c>
      <c r="C91" s="1" t="s">
        <v>92</v>
      </c>
      <c r="D91" s="1" t="s">
        <v>29</v>
      </c>
      <c r="E91" s="1" t="s">
        <v>30</v>
      </c>
      <c r="F91" s="1" t="s">
        <v>31</v>
      </c>
      <c r="G91" s="1" t="s">
        <v>32</v>
      </c>
      <c r="H91" s="1" t="s">
        <v>33</v>
      </c>
      <c r="I91" s="1" t="s">
        <v>34</v>
      </c>
    </row>
    <row r="92">
      <c r="A92" s="1">
        <v>217.0</v>
      </c>
      <c r="B92" s="1">
        <v>99.0</v>
      </c>
      <c r="C92" s="1" t="s">
        <v>93</v>
      </c>
      <c r="D92" s="1" t="s">
        <v>29</v>
      </c>
      <c r="E92" s="1" t="s">
        <v>30</v>
      </c>
      <c r="F92" s="1" t="s">
        <v>31</v>
      </c>
      <c r="G92" s="1" t="s">
        <v>32</v>
      </c>
      <c r="H92" s="1" t="s">
        <v>33</v>
      </c>
      <c r="I92" s="1" t="s">
        <v>34</v>
      </c>
    </row>
    <row r="93">
      <c r="A93" s="1">
        <v>217.0</v>
      </c>
      <c r="B93" s="1">
        <v>100.0</v>
      </c>
      <c r="C93" s="1" t="s">
        <v>94</v>
      </c>
      <c r="D93" s="1" t="s">
        <v>29</v>
      </c>
      <c r="E93" s="1" t="s">
        <v>30</v>
      </c>
      <c r="F93" s="1" t="s">
        <v>31</v>
      </c>
      <c r="G93" s="1" t="s">
        <v>32</v>
      </c>
      <c r="H93" s="1" t="s">
        <v>33</v>
      </c>
      <c r="I93" s="1" t="s">
        <v>34</v>
      </c>
    </row>
    <row r="94">
      <c r="A94" s="1">
        <v>217.0</v>
      </c>
      <c r="B94" s="1">
        <v>101.0</v>
      </c>
      <c r="C94" s="1" t="s">
        <v>95</v>
      </c>
      <c r="D94" s="1" t="s">
        <v>29</v>
      </c>
      <c r="E94" s="1" t="s">
        <v>30</v>
      </c>
      <c r="F94" s="1" t="s">
        <v>31</v>
      </c>
      <c r="G94" s="1" t="s">
        <v>32</v>
      </c>
      <c r="H94" s="1" t="s">
        <v>33</v>
      </c>
      <c r="I94" s="1" t="s">
        <v>34</v>
      </c>
    </row>
    <row r="95">
      <c r="A95" s="1">
        <v>217.0</v>
      </c>
      <c r="B95" s="1">
        <v>102.0</v>
      </c>
      <c r="C95" s="1" t="s">
        <v>97</v>
      </c>
      <c r="D95" s="1" t="s">
        <v>29</v>
      </c>
      <c r="E95" s="1" t="s">
        <v>30</v>
      </c>
      <c r="F95" s="1" t="s">
        <v>31</v>
      </c>
      <c r="G95" s="1" t="s">
        <v>32</v>
      </c>
      <c r="H95" s="1" t="s">
        <v>33</v>
      </c>
      <c r="I95" s="1" t="s">
        <v>34</v>
      </c>
    </row>
    <row r="96">
      <c r="A96" s="1">
        <v>217.0</v>
      </c>
      <c r="B96" s="1">
        <v>103.0</v>
      </c>
      <c r="C96" s="1" t="s">
        <v>98</v>
      </c>
      <c r="D96" s="1" t="s">
        <v>29</v>
      </c>
      <c r="E96" s="1" t="s">
        <v>30</v>
      </c>
      <c r="F96" s="1" t="s">
        <v>31</v>
      </c>
      <c r="G96" s="1" t="s">
        <v>32</v>
      </c>
      <c r="H96" s="1" t="s">
        <v>33</v>
      </c>
      <c r="I96" s="1" t="s">
        <v>34</v>
      </c>
    </row>
    <row r="97">
      <c r="A97" s="1">
        <v>217.0</v>
      </c>
      <c r="B97" s="1">
        <v>104.0</v>
      </c>
      <c r="C97" s="1" t="s">
        <v>99</v>
      </c>
      <c r="D97" s="1" t="s">
        <v>29</v>
      </c>
      <c r="E97" s="1" t="s">
        <v>30</v>
      </c>
      <c r="F97" s="1" t="s">
        <v>31</v>
      </c>
      <c r="G97" s="1" t="s">
        <v>32</v>
      </c>
      <c r="H97" s="1" t="s">
        <v>33</v>
      </c>
      <c r="I97" s="1" t="s">
        <v>34</v>
      </c>
    </row>
    <row r="98">
      <c r="A98" s="1">
        <v>217.0</v>
      </c>
      <c r="B98" s="1">
        <v>105.0</v>
      </c>
      <c r="C98" s="1" t="s">
        <v>101</v>
      </c>
      <c r="D98" s="1" t="s">
        <v>29</v>
      </c>
      <c r="E98" s="1" t="s">
        <v>30</v>
      </c>
      <c r="F98" s="1" t="s">
        <v>31</v>
      </c>
      <c r="G98" s="1" t="s">
        <v>32</v>
      </c>
      <c r="H98" s="1" t="s">
        <v>33</v>
      </c>
      <c r="I98" s="1" t="s">
        <v>34</v>
      </c>
    </row>
    <row r="99">
      <c r="A99" s="1">
        <v>217.0</v>
      </c>
      <c r="B99" s="1">
        <v>106.0</v>
      </c>
      <c r="C99" s="1" t="s">
        <v>102</v>
      </c>
      <c r="D99" s="1" t="s">
        <v>29</v>
      </c>
      <c r="E99" s="1" t="s">
        <v>30</v>
      </c>
      <c r="F99" s="1" t="s">
        <v>31</v>
      </c>
      <c r="G99" s="1" t="s">
        <v>32</v>
      </c>
      <c r="H99" s="1" t="s">
        <v>33</v>
      </c>
      <c r="I99" s="1" t="s">
        <v>34</v>
      </c>
    </row>
    <row r="100">
      <c r="A100" s="1">
        <v>217.0</v>
      </c>
      <c r="B100" s="1">
        <v>107.0</v>
      </c>
      <c r="C100" s="1" t="s">
        <v>103</v>
      </c>
      <c r="D100" s="1" t="s">
        <v>29</v>
      </c>
      <c r="E100" s="1" t="s">
        <v>30</v>
      </c>
      <c r="F100" s="1" t="s">
        <v>31</v>
      </c>
      <c r="G100" s="1" t="s">
        <v>32</v>
      </c>
      <c r="H100" s="1" t="s">
        <v>33</v>
      </c>
      <c r="I100" s="1" t="s">
        <v>34</v>
      </c>
    </row>
    <row r="101">
      <c r="A101" s="1" t="s">
        <v>104</v>
      </c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0"/>
    <col customWidth="1" min="2" max="2" width="111.0"/>
    <col customWidth="1" min="3" max="3" width="18.0"/>
  </cols>
  <sheetData>
    <row r="1">
      <c r="A1" s="2"/>
      <c r="B1" s="7" t="s">
        <v>96</v>
      </c>
      <c r="C1" s="7"/>
      <c r="D1" s="7"/>
      <c r="E1" s="7"/>
      <c r="F1" s="7"/>
      <c r="G1" s="7"/>
      <c r="H1" s="7"/>
      <c r="I1" s="7"/>
      <c r="J1" s="7"/>
      <c r="K1" s="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0"/>
      <c r="B2" s="6" t="s">
        <v>107</v>
      </c>
      <c r="C2" s="6"/>
      <c r="D2" s="6"/>
      <c r="E2" s="6"/>
      <c r="F2" s="6"/>
      <c r="G2" s="6"/>
      <c r="H2" s="6"/>
      <c r="I2" s="6"/>
      <c r="J2" s="6"/>
      <c r="K2" s="6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6" t="s">
        <v>106</v>
      </c>
      <c r="C3" s="6"/>
      <c r="D3" s="6"/>
      <c r="E3" s="6"/>
      <c r="F3" s="6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0"/>
      <c r="B4" s="6" t="s">
        <v>108</v>
      </c>
      <c r="C4" s="6"/>
      <c r="D4" s="6"/>
      <c r="E4" s="6"/>
      <c r="F4" s="6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2"/>
      <c r="B5" s="13" t="s">
        <v>110</v>
      </c>
      <c r="C5" s="13"/>
      <c r="D5" s="13"/>
      <c r="E5" s="13"/>
      <c r="F5" s="13"/>
      <c r="G5" s="13"/>
      <c r="H5" s="13"/>
      <c r="I5" s="13"/>
      <c r="J5" s="13"/>
      <c r="K5" s="13"/>
      <c r="L5" s="16"/>
      <c r="M5" s="1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8"/>
      <c r="B6" s="20"/>
      <c r="C6" s="20"/>
      <c r="D6" s="20"/>
      <c r="E6" s="20"/>
      <c r="F6" s="20"/>
      <c r="G6" s="20"/>
      <c r="H6" s="20"/>
      <c r="I6" s="20"/>
      <c r="J6" s="20"/>
      <c r="K6" s="2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22"/>
      <c r="B7" s="12" t="s">
        <v>111</v>
      </c>
      <c r="C7" s="12"/>
      <c r="D7" s="12"/>
      <c r="E7" s="12"/>
      <c r="F7" s="12"/>
      <c r="G7" s="12"/>
      <c r="H7" s="12"/>
      <c r="I7" s="12"/>
      <c r="J7" s="12"/>
      <c r="K7" s="17"/>
      <c r="L7" s="19"/>
      <c r="M7" s="19"/>
      <c r="N7" s="23"/>
      <c r="O7" s="19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26"/>
      <c r="B8" s="28" t="s">
        <v>112</v>
      </c>
      <c r="G8" s="30"/>
      <c r="H8" s="32" t="s">
        <v>113</v>
      </c>
      <c r="I8" s="30"/>
      <c r="J8" s="32" t="s">
        <v>114</v>
      </c>
      <c r="K8" s="30"/>
      <c r="L8" s="32" t="s">
        <v>115</v>
      </c>
      <c r="P8" s="30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26"/>
      <c r="B9" s="34"/>
      <c r="G9" s="30"/>
      <c r="I9" s="30"/>
      <c r="K9" s="30"/>
      <c r="L9" s="15"/>
      <c r="M9" s="15"/>
      <c r="N9" s="15"/>
      <c r="O9" s="15"/>
      <c r="P9" s="3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26"/>
      <c r="B10" s="34"/>
      <c r="G10" s="30"/>
      <c r="I10" s="30"/>
      <c r="K10" s="30"/>
      <c r="L10" s="36" t="s">
        <v>116</v>
      </c>
      <c r="N10" s="30"/>
      <c r="O10" s="32" t="s">
        <v>117</v>
      </c>
      <c r="P10" s="30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26"/>
      <c r="B11" s="38"/>
      <c r="C11" s="15"/>
      <c r="D11" s="15"/>
      <c r="E11" s="15"/>
      <c r="F11" s="15"/>
      <c r="G11" s="35"/>
      <c r="H11" s="15"/>
      <c r="I11" s="35"/>
      <c r="J11" s="15"/>
      <c r="K11" s="35"/>
      <c r="L11" s="15"/>
      <c r="M11" s="15"/>
      <c r="N11" s="35"/>
      <c r="O11" s="15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40" t="s">
        <v>118</v>
      </c>
      <c r="B12" s="42"/>
      <c r="G12" s="30"/>
      <c r="H12" s="44"/>
      <c r="I12" s="30"/>
      <c r="J12" s="45"/>
      <c r="K12" s="30"/>
      <c r="L12" s="47"/>
      <c r="N12" s="30"/>
      <c r="O12" s="4"/>
      <c r="P12" s="30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49"/>
      <c r="B13" s="42"/>
      <c r="G13" s="30"/>
      <c r="H13" s="51" t="s">
        <v>5</v>
      </c>
      <c r="I13" s="30"/>
      <c r="J13" s="51" t="s">
        <v>6</v>
      </c>
      <c r="K13" s="30"/>
      <c r="L13" s="51" t="s">
        <v>7</v>
      </c>
      <c r="N13" s="30"/>
      <c r="O13" s="4" t="str">
        <f t="shared" ref="O13:O33" si="1">J13/L13</f>
        <v>#VALUE!</v>
      </c>
      <c r="P13" s="30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49">
        <v>1.0</v>
      </c>
      <c r="B14" s="42" t="s">
        <v>4</v>
      </c>
      <c r="G14" s="30"/>
      <c r="H14" s="57">
        <f>H15+H18+H21+H24</f>
        <v>0</v>
      </c>
      <c r="I14" s="30"/>
      <c r="J14" s="57">
        <f>J15+J18+J21+J24</f>
        <v>0</v>
      </c>
      <c r="K14" s="30"/>
      <c r="L14" s="57">
        <f>L15+L18+L21+L24</f>
        <v>0</v>
      </c>
      <c r="N14" s="30"/>
      <c r="O14" s="4" t="str">
        <f t="shared" si="1"/>
        <v>#DIV/0!</v>
      </c>
      <c r="P14" s="30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49">
        <v>2.0</v>
      </c>
      <c r="B15" s="59" t="s">
        <v>120</v>
      </c>
      <c r="G15" s="30"/>
      <c r="H15" s="60">
        <f>sum(H16:I17)</f>
        <v>0</v>
      </c>
      <c r="I15" s="30"/>
      <c r="J15" s="60">
        <f>sum(J16:K17)</f>
        <v>0</v>
      </c>
      <c r="K15" s="30"/>
      <c r="L15" s="60">
        <f>sum(L16:M17)</f>
        <v>0</v>
      </c>
      <c r="N15" s="30"/>
      <c r="O15" s="4" t="str">
        <f t="shared" si="1"/>
        <v>#DIV/0!</v>
      </c>
      <c r="P15" s="30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8">
        <v>3.0</v>
      </c>
      <c r="B16" s="64" t="s">
        <v>121</v>
      </c>
      <c r="G16" s="30"/>
      <c r="H16" s="65"/>
      <c r="I16" s="30"/>
      <c r="J16" s="66"/>
      <c r="K16" s="30"/>
      <c r="L16" s="67"/>
      <c r="N16" s="30"/>
      <c r="O16" s="4" t="str">
        <f t="shared" si="1"/>
        <v>#DIV/0!</v>
      </c>
      <c r="P16" s="3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49">
        <v>4.0</v>
      </c>
      <c r="B17" s="64" t="s">
        <v>122</v>
      </c>
      <c r="G17" s="30"/>
      <c r="H17" s="70"/>
      <c r="I17" s="30"/>
      <c r="J17" s="66"/>
      <c r="K17" s="30"/>
      <c r="L17" s="67"/>
      <c r="N17" s="30"/>
      <c r="O17" s="4" t="str">
        <f t="shared" si="1"/>
        <v>#DIV/0!</v>
      </c>
      <c r="P17" s="30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49">
        <v>5.0</v>
      </c>
      <c r="B18" s="71" t="s">
        <v>123</v>
      </c>
      <c r="G18" s="30"/>
      <c r="H18" s="67"/>
      <c r="I18" s="30"/>
      <c r="J18" s="67"/>
      <c r="K18" s="30"/>
      <c r="L18" s="67"/>
      <c r="N18" s="30"/>
      <c r="O18" s="4" t="str">
        <f t="shared" si="1"/>
        <v>#DIV/0!</v>
      </c>
      <c r="P18" s="30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8">
        <v>6.0</v>
      </c>
      <c r="B19" s="71" t="s">
        <v>124</v>
      </c>
      <c r="G19" s="30"/>
      <c r="H19" s="67"/>
      <c r="I19" s="30"/>
      <c r="J19" s="67"/>
      <c r="K19" s="30"/>
      <c r="L19" s="67"/>
      <c r="N19" s="30"/>
      <c r="O19" s="4" t="str">
        <f t="shared" si="1"/>
        <v>#DIV/0!</v>
      </c>
      <c r="P19" s="30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49">
        <v>7.0</v>
      </c>
      <c r="B20" s="71" t="s">
        <v>125</v>
      </c>
      <c r="G20" s="30"/>
      <c r="H20" s="67"/>
      <c r="I20" s="30"/>
      <c r="J20" s="67"/>
      <c r="K20" s="30"/>
      <c r="L20" s="67"/>
      <c r="N20" s="30"/>
      <c r="O20" s="4" t="str">
        <f t="shared" si="1"/>
        <v>#DIV/0!</v>
      </c>
      <c r="P20" s="30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49">
        <v>8.0</v>
      </c>
      <c r="B21" s="73" t="s">
        <v>126</v>
      </c>
      <c r="G21" s="30"/>
      <c r="H21" s="65"/>
      <c r="I21" s="30"/>
      <c r="J21" s="67"/>
      <c r="K21" s="30"/>
      <c r="L21" s="67"/>
      <c r="N21" s="30"/>
      <c r="O21" s="4" t="str">
        <f t="shared" si="1"/>
        <v>#DIV/0!</v>
      </c>
      <c r="P21" s="30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8">
        <v>9.0</v>
      </c>
      <c r="B22" s="73" t="s">
        <v>127</v>
      </c>
      <c r="G22" s="30"/>
      <c r="H22" s="65"/>
      <c r="I22" s="30"/>
      <c r="J22" s="67"/>
      <c r="K22" s="30"/>
      <c r="L22" s="67"/>
      <c r="N22" s="30"/>
      <c r="O22" s="4" t="str">
        <f t="shared" si="1"/>
        <v>#DIV/0!</v>
      </c>
      <c r="P22" s="30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49">
        <v>10.0</v>
      </c>
      <c r="B23" s="73" t="s">
        <v>128</v>
      </c>
      <c r="G23" s="30"/>
      <c r="H23" s="65"/>
      <c r="I23" s="30"/>
      <c r="J23" s="67"/>
      <c r="K23" s="30"/>
      <c r="L23" s="67"/>
      <c r="N23" s="30"/>
      <c r="O23" s="4" t="str">
        <f t="shared" si="1"/>
        <v>#DIV/0!</v>
      </c>
      <c r="P23" s="30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49">
        <v>11.0</v>
      </c>
      <c r="B24" s="73" t="s">
        <v>129</v>
      </c>
      <c r="G24" s="30"/>
      <c r="H24" s="65"/>
      <c r="I24" s="30"/>
      <c r="J24" s="67"/>
      <c r="K24" s="30"/>
      <c r="L24" s="67"/>
      <c r="N24" s="30"/>
      <c r="O24" s="4" t="str">
        <f t="shared" si="1"/>
        <v>#DIV/0!</v>
      </c>
      <c r="P24" s="30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8">
        <v>12.0</v>
      </c>
      <c r="B25" s="75" t="s">
        <v>18</v>
      </c>
      <c r="G25" s="30"/>
      <c r="H25" s="76"/>
      <c r="I25" s="35"/>
      <c r="J25" s="78"/>
      <c r="K25" s="35"/>
      <c r="L25" s="67"/>
      <c r="N25" s="30"/>
      <c r="O25" s="4" t="str">
        <f t="shared" si="1"/>
        <v>#DIV/0!</v>
      </c>
      <c r="P25" s="30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49">
        <v>13.0</v>
      </c>
      <c r="B26" s="71" t="s">
        <v>130</v>
      </c>
      <c r="G26" s="30"/>
      <c r="H26" s="80"/>
      <c r="I26" s="35"/>
      <c r="J26" s="81"/>
      <c r="K26" s="35"/>
      <c r="L26" s="67"/>
      <c r="N26" s="30"/>
      <c r="O26" s="4" t="str">
        <f t="shared" si="1"/>
        <v>#DIV/0!</v>
      </c>
      <c r="P26" s="30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49">
        <v>14.0</v>
      </c>
      <c r="B27" s="73" t="s">
        <v>131</v>
      </c>
      <c r="G27" s="30"/>
      <c r="H27" s="66"/>
      <c r="I27" s="30"/>
      <c r="J27" s="66"/>
      <c r="K27" s="30"/>
      <c r="L27" s="67"/>
      <c r="N27" s="30"/>
      <c r="O27" s="4" t="str">
        <f t="shared" si="1"/>
        <v>#DIV/0!</v>
      </c>
      <c r="P27" s="30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18">
        <v>15.0</v>
      </c>
      <c r="B28" s="73" t="s">
        <v>132</v>
      </c>
      <c r="G28" s="30"/>
      <c r="H28" s="66"/>
      <c r="I28" s="30"/>
      <c r="J28" s="66"/>
      <c r="K28" s="30"/>
      <c r="L28" s="67"/>
      <c r="N28" s="30"/>
      <c r="O28" s="4" t="str">
        <f t="shared" si="1"/>
        <v>#DIV/0!</v>
      </c>
      <c r="P28" s="30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9">
        <v>16.0</v>
      </c>
      <c r="B29" s="82" t="s">
        <v>133</v>
      </c>
      <c r="G29" s="30"/>
      <c r="H29" s="67"/>
      <c r="I29" s="30"/>
      <c r="J29" s="67"/>
      <c r="K29" s="30"/>
      <c r="L29" s="67"/>
      <c r="N29" s="30"/>
      <c r="O29" s="4" t="str">
        <f t="shared" si="1"/>
        <v>#DIV/0!</v>
      </c>
      <c r="P29" s="30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49">
        <v>17.0</v>
      </c>
      <c r="B30" s="82" t="s">
        <v>134</v>
      </c>
      <c r="G30" s="30"/>
      <c r="H30" s="67"/>
      <c r="I30" s="30"/>
      <c r="J30" s="67"/>
      <c r="K30" s="30"/>
      <c r="L30" s="67"/>
      <c r="N30" s="30"/>
      <c r="O30" s="4" t="str">
        <f t="shared" si="1"/>
        <v>#DIV/0!</v>
      </c>
      <c r="P30" s="30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8">
        <v>18.0</v>
      </c>
      <c r="B31" s="84" t="s">
        <v>135</v>
      </c>
      <c r="G31" s="30"/>
      <c r="H31" s="67"/>
      <c r="I31" s="30"/>
      <c r="J31" s="67"/>
      <c r="K31" s="30"/>
      <c r="L31" s="67"/>
      <c r="N31" s="30"/>
      <c r="O31" s="4" t="str">
        <f t="shared" si="1"/>
        <v>#DIV/0!</v>
      </c>
      <c r="P31" s="30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9">
        <v>19.0</v>
      </c>
      <c r="B32" s="82" t="s">
        <v>136</v>
      </c>
      <c r="G32" s="30"/>
      <c r="H32" s="67"/>
      <c r="I32" s="30"/>
      <c r="J32" s="67"/>
      <c r="K32" s="30"/>
      <c r="L32" s="67"/>
      <c r="N32" s="30"/>
      <c r="O32" s="4" t="str">
        <f t="shared" si="1"/>
        <v>#DIV/0!</v>
      </c>
      <c r="P32" s="30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49">
        <v>20.0</v>
      </c>
      <c r="B33" s="86" t="s">
        <v>137</v>
      </c>
      <c r="C33" s="15"/>
      <c r="D33" s="15"/>
      <c r="E33" s="15"/>
      <c r="F33" s="15"/>
      <c r="G33" s="35"/>
      <c r="H33" s="78"/>
      <c r="I33" s="35"/>
      <c r="J33" s="78"/>
      <c r="K33" s="35"/>
      <c r="L33" s="78"/>
      <c r="M33" s="15"/>
      <c r="N33" s="35"/>
      <c r="O33" s="4" t="str">
        <f t="shared" si="1"/>
        <v>#DIV/0!</v>
      </c>
      <c r="P33" s="30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8">
        <v>21.0</v>
      </c>
      <c r="B34" s="87" t="s">
        <v>27</v>
      </c>
      <c r="C34" s="15"/>
      <c r="D34" s="15"/>
      <c r="E34" s="15"/>
      <c r="F34" s="15"/>
      <c r="G34" s="35"/>
      <c r="H34" s="88"/>
      <c r="I34" s="35"/>
      <c r="J34" s="88"/>
      <c r="K34" s="35"/>
      <c r="L34" s="88"/>
      <c r="M34" s="15"/>
      <c r="N34" s="35"/>
      <c r="O34" s="90"/>
      <c r="P34" s="92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93"/>
      <c r="B35" s="86"/>
      <c r="C35" s="86"/>
      <c r="D35" s="95"/>
      <c r="E35" s="95"/>
      <c r="F35" s="97"/>
      <c r="G35" s="97"/>
      <c r="H35" s="95"/>
      <c r="I35" s="101"/>
      <c r="J35" s="95"/>
      <c r="K35" s="101"/>
      <c r="L35" s="95"/>
      <c r="M35" s="102"/>
      <c r="N35" s="102"/>
      <c r="O35" s="19"/>
      <c r="P35" s="1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04"/>
      <c r="B36" s="107" t="s">
        <v>138</v>
      </c>
      <c r="G36" s="109"/>
      <c r="H36" s="111" t="s">
        <v>139</v>
      </c>
      <c r="I36" s="113" t="s">
        <v>140</v>
      </c>
      <c r="J36" s="115" t="s">
        <v>141</v>
      </c>
      <c r="K36" s="35"/>
      <c r="L36" s="115" t="s">
        <v>142</v>
      </c>
      <c r="M36" s="35"/>
      <c r="N36" s="117" t="s">
        <v>143</v>
      </c>
      <c r="O36" s="35"/>
      <c r="P36" s="119" t="s">
        <v>144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04"/>
      <c r="B37" s="38"/>
      <c r="C37" s="15"/>
      <c r="D37" s="15"/>
      <c r="E37" s="15"/>
      <c r="F37" s="15"/>
      <c r="G37" s="121"/>
      <c r="H37" s="35"/>
      <c r="I37" s="121"/>
      <c r="J37" s="122" t="s">
        <v>145</v>
      </c>
      <c r="K37" s="123" t="s">
        <v>146</v>
      </c>
      <c r="L37" s="122" t="s">
        <v>147</v>
      </c>
      <c r="M37" s="123" t="s">
        <v>148</v>
      </c>
      <c r="N37" s="123" t="s">
        <v>149</v>
      </c>
      <c r="O37" s="125" t="s">
        <v>150</v>
      </c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27">
        <v>23.0</v>
      </c>
      <c r="B38" s="129" t="s">
        <v>28</v>
      </c>
      <c r="C38" s="131"/>
      <c r="D38" s="133"/>
      <c r="E38" s="133"/>
      <c r="F38" s="133"/>
      <c r="G38" s="135"/>
      <c r="H38" s="137"/>
      <c r="I38" s="138"/>
      <c r="J38" s="137"/>
      <c r="K38" s="138"/>
      <c r="L38" s="137"/>
      <c r="M38" s="138"/>
      <c r="N38" s="138"/>
      <c r="O38" s="140"/>
      <c r="P38" s="14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42">
        <v>24.0</v>
      </c>
      <c r="B39" s="144" t="s">
        <v>152</v>
      </c>
      <c r="C39" s="145"/>
      <c r="D39" s="145"/>
      <c r="E39" s="145"/>
      <c r="F39" s="145"/>
      <c r="G39" s="140"/>
      <c r="H39" s="137"/>
      <c r="I39" s="138"/>
      <c r="J39" s="137"/>
      <c r="K39" s="138"/>
      <c r="L39" s="137"/>
      <c r="M39" s="138"/>
      <c r="N39" s="138"/>
      <c r="O39" s="140"/>
      <c r="P39" s="140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42">
        <v>25.0</v>
      </c>
      <c r="B40" s="144" t="s">
        <v>153</v>
      </c>
      <c r="C40" s="145"/>
      <c r="D40" s="145"/>
      <c r="E40" s="145"/>
      <c r="F40" s="145"/>
      <c r="G40" s="140"/>
      <c r="H40" s="137"/>
      <c r="I40" s="138"/>
      <c r="J40" s="137"/>
      <c r="K40" s="138"/>
      <c r="L40" s="137"/>
      <c r="M40" s="138"/>
      <c r="N40" s="138"/>
      <c r="O40" s="140"/>
      <c r="P40" s="140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7">
        <v>26.0</v>
      </c>
      <c r="B41" s="147" t="s">
        <v>37</v>
      </c>
      <c r="C41" s="131"/>
      <c r="D41" s="147"/>
      <c r="E41" s="147"/>
      <c r="F41" s="147"/>
      <c r="G41" s="148"/>
      <c r="H41" s="137"/>
      <c r="I41" s="138"/>
      <c r="J41" s="137"/>
      <c r="K41" s="138"/>
      <c r="L41" s="137"/>
      <c r="M41" s="138"/>
      <c r="N41" s="138"/>
      <c r="O41" s="140"/>
      <c r="P41" s="14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42">
        <v>27.0</v>
      </c>
      <c r="B42" s="144" t="s">
        <v>152</v>
      </c>
      <c r="C42" s="145"/>
      <c r="D42" s="145"/>
      <c r="E42" s="145"/>
      <c r="F42" s="145"/>
      <c r="G42" s="140"/>
      <c r="H42" s="137"/>
      <c r="I42" s="138"/>
      <c r="J42" s="137"/>
      <c r="K42" s="138"/>
      <c r="L42" s="137"/>
      <c r="M42" s="138"/>
      <c r="N42" s="138"/>
      <c r="O42" s="140"/>
      <c r="P42" s="14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142">
        <v>28.0</v>
      </c>
      <c r="B43" s="144" t="s">
        <v>154</v>
      </c>
      <c r="C43" s="145"/>
      <c r="D43" s="145"/>
      <c r="E43" s="145"/>
      <c r="F43" s="145"/>
      <c r="G43" s="140"/>
      <c r="H43" s="137"/>
      <c r="I43" s="138"/>
      <c r="J43" s="137"/>
      <c r="K43" s="138"/>
      <c r="L43" s="137"/>
      <c r="M43" s="138"/>
      <c r="N43" s="138"/>
      <c r="O43" s="140"/>
      <c r="P43" s="14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27">
        <v>29.0</v>
      </c>
      <c r="B44" s="150" t="s">
        <v>38</v>
      </c>
      <c r="C44" s="131"/>
      <c r="D44" s="147"/>
      <c r="E44" s="147"/>
      <c r="F44" s="147"/>
      <c r="G44" s="151"/>
      <c r="H44" s="137"/>
      <c r="I44" s="138"/>
      <c r="J44" s="137"/>
      <c r="K44" s="138"/>
      <c r="L44" s="137"/>
      <c r="M44" s="138"/>
      <c r="N44" s="138"/>
      <c r="O44" s="140"/>
      <c r="P44" s="140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142">
        <v>30.0</v>
      </c>
      <c r="B45" s="144" t="s">
        <v>152</v>
      </c>
      <c r="C45" s="145"/>
      <c r="D45" s="145"/>
      <c r="E45" s="145"/>
      <c r="F45" s="145"/>
      <c r="G45" s="140"/>
      <c r="H45" s="137"/>
      <c r="I45" s="138"/>
      <c r="J45" s="137"/>
      <c r="K45" s="138"/>
      <c r="L45" s="137"/>
      <c r="M45" s="138"/>
      <c r="N45" s="138"/>
      <c r="O45" s="140"/>
      <c r="P45" s="1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42">
        <v>31.0</v>
      </c>
      <c r="B46" s="144" t="s">
        <v>154</v>
      </c>
      <c r="C46" s="145"/>
      <c r="D46" s="145"/>
      <c r="E46" s="145"/>
      <c r="F46" s="145"/>
      <c r="G46" s="140"/>
      <c r="H46" s="137"/>
      <c r="I46" s="138"/>
      <c r="J46" s="137"/>
      <c r="K46" s="138"/>
      <c r="L46" s="137"/>
      <c r="M46" s="138"/>
      <c r="N46" s="138"/>
      <c r="O46" s="140"/>
      <c r="P46" s="14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27">
        <v>32.0</v>
      </c>
      <c r="B47" s="147" t="s">
        <v>39</v>
      </c>
      <c r="C47" s="131"/>
      <c r="D47" s="147"/>
      <c r="E47" s="147"/>
      <c r="F47" s="147"/>
      <c r="G47" s="148"/>
      <c r="H47" s="137"/>
      <c r="I47" s="138"/>
      <c r="J47" s="137"/>
      <c r="K47" s="138"/>
      <c r="L47" s="137"/>
      <c r="M47" s="138"/>
      <c r="N47" s="138"/>
      <c r="O47" s="140"/>
      <c r="P47" s="14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142">
        <v>33.0</v>
      </c>
      <c r="B48" s="144" t="s">
        <v>152</v>
      </c>
      <c r="C48" s="145"/>
      <c r="D48" s="145"/>
      <c r="E48" s="145"/>
      <c r="F48" s="145"/>
      <c r="G48" s="140"/>
      <c r="H48" s="137"/>
      <c r="I48" s="138"/>
      <c r="J48" s="137"/>
      <c r="K48" s="138"/>
      <c r="L48" s="137"/>
      <c r="M48" s="138"/>
      <c r="N48" s="138"/>
      <c r="O48" s="140"/>
      <c r="P48" s="1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42">
        <v>34.0</v>
      </c>
      <c r="B49" s="144" t="s">
        <v>154</v>
      </c>
      <c r="C49" s="145"/>
      <c r="D49" s="145"/>
      <c r="E49" s="145"/>
      <c r="F49" s="145"/>
      <c r="G49" s="140"/>
      <c r="H49" s="137"/>
      <c r="I49" s="138"/>
      <c r="J49" s="137"/>
      <c r="K49" s="138"/>
      <c r="L49" s="137"/>
      <c r="M49" s="138"/>
      <c r="N49" s="138"/>
      <c r="O49" s="140"/>
      <c r="P49" s="14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7">
        <v>35.0</v>
      </c>
      <c r="B50" s="147" t="s">
        <v>40</v>
      </c>
      <c r="C50" s="131"/>
      <c r="D50" s="147"/>
      <c r="E50" s="147"/>
      <c r="F50" s="147"/>
      <c r="G50" s="148"/>
      <c r="H50" s="137"/>
      <c r="I50" s="138"/>
      <c r="J50" s="137"/>
      <c r="K50" s="138"/>
      <c r="L50" s="137"/>
      <c r="M50" s="138"/>
      <c r="N50" s="138"/>
      <c r="O50" s="140"/>
      <c r="P50" s="14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42">
        <v>36.0</v>
      </c>
      <c r="B51" s="144" t="s">
        <v>152</v>
      </c>
      <c r="C51" s="145"/>
      <c r="D51" s="145"/>
      <c r="E51" s="145"/>
      <c r="F51" s="145"/>
      <c r="G51" s="140"/>
      <c r="H51" s="137"/>
      <c r="I51" s="138"/>
      <c r="J51" s="137"/>
      <c r="K51" s="138"/>
      <c r="L51" s="137"/>
      <c r="M51" s="138"/>
      <c r="N51" s="138"/>
      <c r="O51" s="140"/>
      <c r="P51" s="140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42">
        <v>37.0</v>
      </c>
      <c r="B52" s="144" t="s">
        <v>154</v>
      </c>
      <c r="C52" s="145"/>
      <c r="D52" s="145"/>
      <c r="E52" s="145"/>
      <c r="F52" s="145"/>
      <c r="G52" s="140"/>
      <c r="H52" s="137"/>
      <c r="I52" s="138"/>
      <c r="J52" s="137"/>
      <c r="K52" s="138"/>
      <c r="L52" s="137"/>
      <c r="M52" s="138"/>
      <c r="N52" s="138"/>
      <c r="O52" s="140"/>
      <c r="P52" s="1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27">
        <v>38.0</v>
      </c>
      <c r="B53" s="147" t="s">
        <v>41</v>
      </c>
      <c r="C53" s="131"/>
      <c r="D53" s="147"/>
      <c r="E53" s="147"/>
      <c r="F53" s="147"/>
      <c r="G53" s="148"/>
      <c r="H53" s="137"/>
      <c r="I53" s="138"/>
      <c r="J53" s="137"/>
      <c r="K53" s="138"/>
      <c r="L53" s="137"/>
      <c r="M53" s="138"/>
      <c r="N53" s="138"/>
      <c r="O53" s="140"/>
      <c r="P53" s="14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42">
        <v>39.0</v>
      </c>
      <c r="B54" s="144" t="s">
        <v>152</v>
      </c>
      <c r="C54" s="145"/>
      <c r="D54" s="145"/>
      <c r="E54" s="145"/>
      <c r="F54" s="145"/>
      <c r="G54" s="140"/>
      <c r="H54" s="137"/>
      <c r="I54" s="138"/>
      <c r="J54" s="137"/>
      <c r="K54" s="138"/>
      <c r="L54" s="137"/>
      <c r="M54" s="138"/>
      <c r="N54" s="138"/>
      <c r="O54" s="140"/>
      <c r="P54" s="140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42">
        <v>40.0</v>
      </c>
      <c r="B55" s="144" t="s">
        <v>154</v>
      </c>
      <c r="C55" s="145"/>
      <c r="D55" s="145"/>
      <c r="E55" s="145"/>
      <c r="F55" s="145"/>
      <c r="G55" s="140"/>
      <c r="H55" s="137"/>
      <c r="I55" s="138"/>
      <c r="J55" s="137"/>
      <c r="K55" s="138"/>
      <c r="L55" s="137"/>
      <c r="M55" s="138"/>
      <c r="N55" s="138"/>
      <c r="O55" s="140"/>
      <c r="P55" s="140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7">
        <v>41.0</v>
      </c>
      <c r="B56" s="147" t="s">
        <v>42</v>
      </c>
      <c r="C56" s="131"/>
      <c r="D56" s="147"/>
      <c r="E56" s="147"/>
      <c r="F56" s="147"/>
      <c r="G56" s="148"/>
      <c r="H56" s="137"/>
      <c r="I56" s="138"/>
      <c r="J56" s="137"/>
      <c r="K56" s="138"/>
      <c r="L56" s="137"/>
      <c r="M56" s="138"/>
      <c r="N56" s="138"/>
      <c r="O56" s="140"/>
      <c r="P56" s="140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42">
        <v>42.0</v>
      </c>
      <c r="B57" s="144" t="s">
        <v>152</v>
      </c>
      <c r="C57" s="145"/>
      <c r="D57" s="145"/>
      <c r="E57" s="145"/>
      <c r="F57" s="145"/>
      <c r="G57" s="140"/>
      <c r="H57" s="137"/>
      <c r="I57" s="138"/>
      <c r="J57" s="137"/>
      <c r="K57" s="138"/>
      <c r="L57" s="137"/>
      <c r="M57" s="138"/>
      <c r="N57" s="138"/>
      <c r="O57" s="140"/>
      <c r="P57" s="140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142">
        <v>43.0</v>
      </c>
      <c r="B58" s="154" t="s">
        <v>154</v>
      </c>
      <c r="C58" s="155"/>
      <c r="D58" s="155"/>
      <c r="E58" s="155"/>
      <c r="F58" s="155"/>
      <c r="G58" s="157"/>
      <c r="H58" s="158"/>
      <c r="I58" s="159"/>
      <c r="J58" s="158"/>
      <c r="K58" s="159"/>
      <c r="L58" s="158"/>
      <c r="M58" s="159"/>
      <c r="N58" s="159"/>
      <c r="O58" s="157"/>
      <c r="P58" s="157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27">
        <v>44.0</v>
      </c>
      <c r="B59" s="160" t="s">
        <v>43</v>
      </c>
      <c r="C59" s="15"/>
      <c r="D59" s="161"/>
      <c r="E59" s="161"/>
      <c r="F59" s="161"/>
      <c r="G59" s="92"/>
      <c r="H59" s="162"/>
      <c r="I59" s="163"/>
      <c r="J59" s="162"/>
      <c r="K59" s="163"/>
      <c r="L59" s="162"/>
      <c r="M59" s="163"/>
      <c r="N59" s="163"/>
      <c r="O59" s="92"/>
      <c r="P59" s="92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93"/>
      <c r="B60" s="86"/>
      <c r="C60" s="86"/>
      <c r="D60" s="95"/>
      <c r="E60" s="95"/>
      <c r="F60" s="97"/>
      <c r="G60" s="97"/>
      <c r="H60" s="95"/>
      <c r="I60" s="101"/>
      <c r="J60" s="95"/>
      <c r="K60" s="101"/>
      <c r="L60" s="95"/>
      <c r="M60" s="101"/>
      <c r="N60" s="101"/>
      <c r="O60" s="97"/>
      <c r="P60" s="97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26"/>
      <c r="B61" s="164" t="s">
        <v>155</v>
      </c>
      <c r="J61" s="109"/>
      <c r="K61" s="165" t="s">
        <v>141</v>
      </c>
      <c r="L61" s="143"/>
      <c r="M61" s="166" t="s">
        <v>142</v>
      </c>
      <c r="N61" s="143"/>
      <c r="O61" s="167" t="s">
        <v>143</v>
      </c>
      <c r="P61" s="143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26"/>
      <c r="B62" s="38"/>
      <c r="C62" s="15"/>
      <c r="D62" s="15"/>
      <c r="E62" s="15"/>
      <c r="F62" s="15"/>
      <c r="G62" s="15"/>
      <c r="H62" s="15"/>
      <c r="I62" s="15"/>
      <c r="J62" s="121"/>
      <c r="K62" s="168" t="s">
        <v>156</v>
      </c>
      <c r="L62" s="35"/>
      <c r="M62" s="115" t="s">
        <v>157</v>
      </c>
      <c r="N62" s="35"/>
      <c r="O62" s="117" t="s">
        <v>158</v>
      </c>
      <c r="P62" s="3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142">
        <v>45.0</v>
      </c>
      <c r="B63" s="169" t="s">
        <v>44</v>
      </c>
      <c r="C63" s="131"/>
      <c r="D63" s="131"/>
      <c r="E63" s="131"/>
      <c r="F63" s="131"/>
      <c r="G63" s="131"/>
      <c r="H63" s="131"/>
      <c r="I63" s="170"/>
      <c r="J63" s="171"/>
      <c r="K63" s="172" t="str">
        <f>J59</f>
        <v/>
      </c>
      <c r="L63" s="171"/>
      <c r="M63" s="172" t="str">
        <f>L59</f>
        <v/>
      </c>
      <c r="N63" s="173"/>
      <c r="O63" s="172" t="str">
        <f>N59</f>
        <v/>
      </c>
      <c r="P63" s="17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42">
        <v>46.0</v>
      </c>
      <c r="B64" s="169" t="s">
        <v>159</v>
      </c>
      <c r="C64" s="131"/>
      <c r="D64" s="131"/>
      <c r="E64" s="131"/>
      <c r="F64" s="131"/>
      <c r="G64" s="131"/>
      <c r="H64" s="131"/>
      <c r="I64" s="170"/>
      <c r="J64" s="171"/>
      <c r="K64" s="172"/>
      <c r="L64" s="171"/>
      <c r="M64" s="172"/>
      <c r="N64" s="173"/>
      <c r="O64" s="4"/>
      <c r="P64" s="17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75">
        <v>47.0</v>
      </c>
      <c r="B65" s="176" t="s">
        <v>160</v>
      </c>
      <c r="C65" s="131"/>
      <c r="D65" s="131"/>
      <c r="E65" s="131"/>
      <c r="F65" s="131"/>
      <c r="G65" s="131"/>
      <c r="H65" s="131"/>
      <c r="I65" s="170"/>
      <c r="J65" s="171"/>
      <c r="K65" s="172"/>
      <c r="L65" s="171"/>
      <c r="M65" s="172"/>
      <c r="N65" s="173"/>
      <c r="O65" s="4"/>
      <c r="P65" s="17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42">
        <v>48.0</v>
      </c>
      <c r="B66" s="177" t="s">
        <v>161</v>
      </c>
      <c r="C66" s="15"/>
      <c r="D66" s="15"/>
      <c r="E66" s="15"/>
      <c r="F66" s="15"/>
      <c r="G66" s="15"/>
      <c r="H66" s="15"/>
      <c r="I66" s="178"/>
      <c r="J66" s="179"/>
      <c r="K66" s="102"/>
      <c r="L66" s="179"/>
      <c r="M66" s="102"/>
      <c r="N66" s="180"/>
      <c r="O66" s="19"/>
      <c r="P66" s="181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82">
        <v>49.0</v>
      </c>
      <c r="B67" s="183" t="s">
        <v>45</v>
      </c>
      <c r="C67" s="15"/>
      <c r="D67" s="15"/>
      <c r="E67" s="15"/>
      <c r="F67" s="15"/>
      <c r="G67" s="15"/>
      <c r="H67" s="15"/>
      <c r="I67" s="35"/>
      <c r="J67" s="162"/>
      <c r="K67" s="184"/>
      <c r="L67" s="162"/>
      <c r="M67" s="184"/>
      <c r="N67" s="163"/>
      <c r="O67" s="90"/>
      <c r="P67" s="92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75">
        <v>50.0</v>
      </c>
      <c r="B68" s="185" t="s">
        <v>162</v>
      </c>
      <c r="C68" s="15"/>
      <c r="D68" s="15"/>
      <c r="E68" s="15"/>
      <c r="F68" s="15"/>
      <c r="G68" s="15"/>
      <c r="H68" s="35"/>
      <c r="I68" s="101"/>
      <c r="J68" s="186"/>
      <c r="K68" s="187"/>
      <c r="L68" s="15"/>
      <c r="M68" s="15"/>
      <c r="N68" s="15"/>
      <c r="O68" s="15"/>
      <c r="P68" s="35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42">
        <v>51.0</v>
      </c>
      <c r="B69" s="185" t="s">
        <v>163</v>
      </c>
      <c r="C69" s="15"/>
      <c r="D69" s="15"/>
      <c r="E69" s="15"/>
      <c r="F69" s="15"/>
      <c r="G69" s="15"/>
      <c r="H69" s="35"/>
      <c r="I69" s="101"/>
      <c r="J69" s="186"/>
      <c r="K69" s="187"/>
      <c r="L69" s="15"/>
      <c r="M69" s="15"/>
      <c r="N69" s="15"/>
      <c r="O69" s="15"/>
      <c r="P69" s="3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82">
        <v>52.0</v>
      </c>
      <c r="B70" s="188" t="s">
        <v>48</v>
      </c>
      <c r="C70" s="15"/>
      <c r="D70" s="15"/>
      <c r="E70" s="15"/>
      <c r="F70" s="15"/>
      <c r="G70" s="15"/>
      <c r="H70" s="15"/>
      <c r="I70" s="101"/>
      <c r="J70" s="186"/>
      <c r="K70" s="102"/>
      <c r="L70" s="179"/>
      <c r="M70" s="102"/>
      <c r="N70" s="180"/>
      <c r="O70" s="19"/>
      <c r="P70" s="181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75">
        <v>53.0</v>
      </c>
      <c r="B71" s="185" t="s">
        <v>49</v>
      </c>
      <c r="C71" s="15"/>
      <c r="D71" s="15"/>
      <c r="E71" s="15"/>
      <c r="F71" s="15"/>
      <c r="G71" s="15"/>
      <c r="H71" s="35"/>
      <c r="I71" s="101"/>
      <c r="J71" s="186"/>
      <c r="K71" s="102"/>
      <c r="L71" s="179"/>
      <c r="M71" s="189"/>
      <c r="N71" s="35"/>
      <c r="O71" s="190"/>
      <c r="P71" s="35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42">
        <v>54.0</v>
      </c>
      <c r="B72" s="191" t="s">
        <v>50</v>
      </c>
      <c r="C72" s="15"/>
      <c r="D72" s="15"/>
      <c r="E72" s="15"/>
      <c r="F72" s="15"/>
      <c r="G72" s="15"/>
      <c r="H72" s="15"/>
      <c r="I72" s="15"/>
      <c r="J72" s="35"/>
      <c r="K72" s="192"/>
      <c r="L72" s="193"/>
      <c r="M72" s="192"/>
      <c r="N72" s="194"/>
      <c r="O72" s="196"/>
      <c r="P72" s="35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198"/>
      <c r="B73" s="200"/>
      <c r="C73" s="200"/>
      <c r="D73" s="202"/>
      <c r="E73" s="202"/>
      <c r="F73" s="19"/>
      <c r="G73" s="19"/>
      <c r="H73" s="202"/>
      <c r="I73" s="102"/>
      <c r="J73" s="202"/>
      <c r="K73" s="102"/>
      <c r="L73" s="202"/>
      <c r="M73" s="102"/>
      <c r="N73" s="102"/>
      <c r="O73" s="19"/>
      <c r="P73" s="19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26"/>
      <c r="B74" s="205" t="s">
        <v>164</v>
      </c>
      <c r="I74" s="109"/>
      <c r="J74" s="117" t="s">
        <v>165</v>
      </c>
      <c r="K74" s="15"/>
      <c r="L74" s="15"/>
      <c r="M74" s="15"/>
      <c r="N74" s="15"/>
      <c r="O74" s="15"/>
      <c r="P74" s="35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6"/>
      <c r="B75" s="34"/>
      <c r="I75" s="109"/>
      <c r="J75" s="207" t="s">
        <v>166</v>
      </c>
      <c r="K75" s="208"/>
      <c r="L75" s="115" t="s">
        <v>167</v>
      </c>
      <c r="M75" s="15"/>
      <c r="N75" s="35"/>
      <c r="O75" s="210" t="s">
        <v>168</v>
      </c>
      <c r="P75" s="208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11"/>
      <c r="B76" s="212"/>
      <c r="C76" s="131"/>
      <c r="D76" s="131"/>
      <c r="E76" s="131"/>
      <c r="F76" s="131"/>
      <c r="G76" s="131"/>
      <c r="H76" s="131"/>
      <c r="I76" s="213"/>
      <c r="J76" s="131"/>
      <c r="K76" s="170"/>
      <c r="L76" s="122" t="s">
        <v>169</v>
      </c>
      <c r="M76" s="123" t="s">
        <v>170</v>
      </c>
      <c r="N76" s="123" t="s">
        <v>171</v>
      </c>
      <c r="O76" s="131"/>
      <c r="P76" s="170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14">
        <v>55.0</v>
      </c>
      <c r="B77" s="215" t="s">
        <v>172</v>
      </c>
      <c r="C77" s="131"/>
      <c r="D77" s="131"/>
      <c r="E77" s="131"/>
      <c r="F77" s="131"/>
      <c r="G77" s="131"/>
      <c r="H77" s="131"/>
      <c r="I77" s="143"/>
      <c r="J77" s="217"/>
      <c r="K77" s="143"/>
      <c r="L77" s="219"/>
      <c r="M77" s="221"/>
      <c r="N77" s="221"/>
      <c r="O77" s="222"/>
      <c r="P77" s="140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14">
        <v>56.0</v>
      </c>
      <c r="B78" s="215" t="s">
        <v>173</v>
      </c>
      <c r="C78" s="131"/>
      <c r="D78" s="131"/>
      <c r="E78" s="131"/>
      <c r="F78" s="131"/>
      <c r="G78" s="131"/>
      <c r="H78" s="131"/>
      <c r="I78" s="143"/>
      <c r="J78" s="224"/>
      <c r="K78" s="138"/>
      <c r="L78" s="137"/>
      <c r="M78" s="138"/>
      <c r="N78" s="138"/>
      <c r="O78" s="222"/>
      <c r="P78" s="140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14">
        <v>57.0</v>
      </c>
      <c r="B79" s="227" t="s">
        <v>174</v>
      </c>
      <c r="C79" s="15"/>
      <c r="D79" s="15"/>
      <c r="E79" s="15"/>
      <c r="F79" s="15"/>
      <c r="G79" s="15"/>
      <c r="H79" s="15"/>
      <c r="I79" s="35"/>
      <c r="J79" s="229"/>
      <c r="K79" s="159"/>
      <c r="L79" s="158"/>
      <c r="M79" s="158"/>
      <c r="N79" s="158"/>
      <c r="O79" s="231"/>
      <c r="P79" s="157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33">
        <v>58.0</v>
      </c>
      <c r="B80" s="235" t="s">
        <v>55</v>
      </c>
      <c r="C80" s="15"/>
      <c r="D80" s="15"/>
      <c r="E80" s="15"/>
      <c r="F80" s="15"/>
      <c r="G80" s="15"/>
      <c r="H80" s="15"/>
      <c r="I80" s="35"/>
      <c r="J80" s="236"/>
      <c r="K80" s="163"/>
      <c r="L80" s="162"/>
      <c r="M80" s="162"/>
      <c r="N80" s="162"/>
      <c r="O80" s="90"/>
      <c r="P80" s="92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93"/>
      <c r="B81" s="86"/>
      <c r="C81" s="86"/>
      <c r="D81" s="95"/>
      <c r="E81" s="95"/>
      <c r="F81" s="97"/>
      <c r="G81" s="97"/>
      <c r="H81" s="95"/>
      <c r="I81" s="101"/>
      <c r="J81" s="95"/>
      <c r="K81" s="101"/>
      <c r="L81" s="95"/>
      <c r="M81" s="95"/>
      <c r="N81" s="95"/>
      <c r="O81" s="97"/>
      <c r="P81" s="97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38"/>
      <c r="B82" s="239" t="s">
        <v>176</v>
      </c>
      <c r="P82" s="30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38"/>
      <c r="B83" s="24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35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04"/>
      <c r="B84" s="243" t="s">
        <v>177</v>
      </c>
      <c r="C84" s="245" t="s">
        <v>178</v>
      </c>
      <c r="D84" s="30"/>
      <c r="E84" s="247" t="s">
        <v>179</v>
      </c>
      <c r="F84" s="119" t="s">
        <v>180</v>
      </c>
      <c r="G84" s="249" t="s">
        <v>181</v>
      </c>
      <c r="H84" s="111" t="s">
        <v>182</v>
      </c>
      <c r="I84" s="251" t="s">
        <v>183</v>
      </c>
      <c r="J84" s="247" t="s">
        <v>184</v>
      </c>
      <c r="K84" s="245" t="s">
        <v>185</v>
      </c>
      <c r="L84" s="109"/>
      <c r="M84" s="245" t="s">
        <v>186</v>
      </c>
      <c r="N84" s="109"/>
      <c r="O84" s="32" t="s">
        <v>187</v>
      </c>
      <c r="P84" s="30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104"/>
      <c r="B85" s="255"/>
      <c r="C85" s="257"/>
      <c r="D85" s="258"/>
      <c r="E85" s="260"/>
      <c r="F85" s="258"/>
      <c r="G85" s="260"/>
      <c r="H85" s="258"/>
      <c r="I85" s="260"/>
      <c r="J85" s="260"/>
      <c r="K85" s="257"/>
      <c r="L85" s="260"/>
      <c r="M85" s="257"/>
      <c r="N85" s="260"/>
      <c r="O85" s="15"/>
      <c r="P85" s="35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63">
        <v>59.0</v>
      </c>
      <c r="B86" s="265" t="s">
        <v>56</v>
      </c>
      <c r="C86" s="222"/>
      <c r="D86" s="148"/>
      <c r="E86" s="148"/>
      <c r="F86" s="148"/>
      <c r="G86" s="148"/>
      <c r="H86" s="148"/>
      <c r="I86" s="148"/>
      <c r="J86" s="219"/>
      <c r="K86" s="267"/>
      <c r="L86" s="268"/>
      <c r="M86" s="270"/>
      <c r="N86" s="143"/>
      <c r="O86" s="272"/>
      <c r="P86" s="148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63">
        <v>60.0</v>
      </c>
      <c r="B87" s="265" t="s">
        <v>57</v>
      </c>
      <c r="C87" s="222"/>
      <c r="D87" s="140"/>
      <c r="E87" s="140"/>
      <c r="F87" s="140"/>
      <c r="G87" s="140"/>
      <c r="H87" s="140"/>
      <c r="I87" s="140"/>
      <c r="J87" s="137"/>
      <c r="K87" s="4"/>
      <c r="L87" s="174"/>
      <c r="M87" s="224"/>
      <c r="N87" s="137"/>
      <c r="O87" s="222"/>
      <c r="P87" s="140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63">
        <v>61.0</v>
      </c>
      <c r="B88" s="265" t="s">
        <v>68</v>
      </c>
      <c r="C88" s="222"/>
      <c r="D88" s="140"/>
      <c r="E88" s="140"/>
      <c r="F88" s="140"/>
      <c r="G88" s="140"/>
      <c r="H88" s="140"/>
      <c r="I88" s="140"/>
      <c r="J88" s="137"/>
      <c r="K88" s="4"/>
      <c r="L88" s="174"/>
      <c r="M88" s="224"/>
      <c r="N88" s="137"/>
      <c r="O88" s="222"/>
      <c r="P88" s="140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63">
        <v>62.0</v>
      </c>
      <c r="B89" s="265" t="s">
        <v>69</v>
      </c>
      <c r="C89" s="222"/>
      <c r="D89" s="140"/>
      <c r="E89" s="140"/>
      <c r="F89" s="140"/>
      <c r="G89" s="140"/>
      <c r="H89" s="140"/>
      <c r="I89" s="140"/>
      <c r="J89" s="137"/>
      <c r="K89" s="4"/>
      <c r="L89" s="174"/>
      <c r="M89" s="224"/>
      <c r="N89" s="137"/>
      <c r="O89" s="222"/>
      <c r="P89" s="140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63">
        <v>63.0</v>
      </c>
      <c r="B90" s="275" t="s">
        <v>70</v>
      </c>
      <c r="C90" s="231"/>
      <c r="D90" s="157"/>
      <c r="E90" s="157"/>
      <c r="F90" s="157"/>
      <c r="G90" s="157"/>
      <c r="H90" s="158"/>
      <c r="I90" s="157"/>
      <c r="J90" s="158"/>
      <c r="K90" s="19"/>
      <c r="L90" s="181"/>
      <c r="M90" s="229"/>
      <c r="N90" s="158"/>
      <c r="O90" s="231"/>
      <c r="P90" s="157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77"/>
      <c r="B91" s="278"/>
      <c r="C91" s="231"/>
      <c r="D91" s="231"/>
      <c r="E91" s="231"/>
      <c r="F91" s="231"/>
      <c r="G91" s="231"/>
      <c r="H91" s="229"/>
      <c r="I91" s="229"/>
      <c r="J91" s="229"/>
      <c r="K91" s="202"/>
      <c r="L91" s="280"/>
      <c r="M91" s="229"/>
      <c r="N91" s="229"/>
      <c r="O91" s="231"/>
      <c r="P91" s="157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2">
        <v>64.0</v>
      </c>
      <c r="B92" s="284" t="s">
        <v>190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35"/>
      <c r="O92" s="90"/>
      <c r="P92" s="92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2">
        <v>65.0</v>
      </c>
      <c r="B93" s="160" t="s">
        <v>191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35"/>
      <c r="O93" s="90"/>
      <c r="P93" s="92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2">
        <v>66.0</v>
      </c>
      <c r="B94" s="160" t="s">
        <v>192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35"/>
      <c r="O94" s="90"/>
      <c r="P94" s="92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77"/>
      <c r="B95" s="278"/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6"/>
      <c r="B96" s="291" t="s">
        <v>193</v>
      </c>
      <c r="I96" s="109"/>
      <c r="J96" s="117" t="s">
        <v>194</v>
      </c>
      <c r="K96" s="15"/>
      <c r="L96" s="15"/>
      <c r="M96" s="15"/>
      <c r="N96" s="15"/>
      <c r="O96" s="15"/>
      <c r="P96" s="35"/>
      <c r="Q96" s="294"/>
      <c r="S96" s="29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6"/>
      <c r="B97" s="34"/>
      <c r="I97" s="109"/>
      <c r="J97" s="32" t="s">
        <v>195</v>
      </c>
      <c r="K97" s="109"/>
      <c r="L97" s="117" t="s">
        <v>167</v>
      </c>
      <c r="M97" s="15"/>
      <c r="N97" s="35"/>
      <c r="O97" s="210" t="s">
        <v>196</v>
      </c>
      <c r="P97" s="3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6"/>
      <c r="B98" s="38"/>
      <c r="C98" s="15"/>
      <c r="D98" s="15"/>
      <c r="E98" s="15"/>
      <c r="F98" s="15"/>
      <c r="G98" s="15"/>
      <c r="H98" s="15"/>
      <c r="I98" s="121"/>
      <c r="J98" s="15"/>
      <c r="K98" s="121"/>
      <c r="L98" s="125" t="s">
        <v>197</v>
      </c>
      <c r="M98" s="125" t="s">
        <v>198</v>
      </c>
      <c r="N98" s="125" t="s">
        <v>199</v>
      </c>
      <c r="O98" s="15"/>
      <c r="P98" s="3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98"/>
      <c r="B99" s="300" t="s">
        <v>201</v>
      </c>
      <c r="C99" s="131"/>
      <c r="D99" s="131"/>
      <c r="E99" s="131"/>
      <c r="F99" s="131"/>
      <c r="G99" s="131"/>
      <c r="H99" s="131"/>
      <c r="I99" s="143"/>
      <c r="J99" s="301"/>
      <c r="K99" s="143"/>
      <c r="L99" s="140"/>
      <c r="M99" s="140"/>
      <c r="N99" s="140"/>
      <c r="O99" s="222"/>
      <c r="P99" s="140"/>
      <c r="Q99" s="303"/>
      <c r="R99" s="170"/>
      <c r="S99" s="303"/>
      <c r="T99" s="17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98"/>
      <c r="B100" s="300" t="s">
        <v>202</v>
      </c>
      <c r="C100" s="131"/>
      <c r="D100" s="131"/>
      <c r="E100" s="131"/>
      <c r="F100" s="131"/>
      <c r="G100" s="131"/>
      <c r="H100" s="131"/>
      <c r="I100" s="143"/>
      <c r="J100" s="222"/>
      <c r="K100" s="140"/>
      <c r="L100" s="140"/>
      <c r="M100" s="140"/>
      <c r="N100" s="140"/>
      <c r="O100" s="222"/>
      <c r="P100" s="140"/>
      <c r="Q100" s="303"/>
      <c r="R100" s="170"/>
      <c r="S100" s="222"/>
      <c r="T100" s="222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306"/>
      <c r="B101" s="308" t="s">
        <v>203</v>
      </c>
      <c r="C101" s="15"/>
      <c r="D101" s="15"/>
      <c r="E101" s="15"/>
      <c r="F101" s="15"/>
      <c r="G101" s="15"/>
      <c r="H101" s="15"/>
      <c r="I101" s="35"/>
      <c r="J101" s="231"/>
      <c r="K101" s="157"/>
      <c r="L101" s="157"/>
      <c r="M101" s="157"/>
      <c r="N101" s="157"/>
      <c r="O101" s="231"/>
      <c r="P101" s="157"/>
      <c r="Q101" s="303"/>
      <c r="R101" s="170"/>
      <c r="S101" s="303"/>
      <c r="T101" s="17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312"/>
      <c r="B102" s="87" t="s">
        <v>76</v>
      </c>
      <c r="C102" s="15"/>
      <c r="D102" s="15"/>
      <c r="E102" s="15"/>
      <c r="F102" s="15"/>
      <c r="G102" s="15"/>
      <c r="H102" s="15"/>
      <c r="I102" s="35"/>
      <c r="J102" s="12"/>
      <c r="K102" s="35"/>
      <c r="L102" s="92"/>
      <c r="M102" s="125"/>
      <c r="N102" s="125"/>
      <c r="O102" s="90"/>
      <c r="P102" s="125"/>
      <c r="Q102" s="303"/>
      <c r="R102" s="170"/>
      <c r="S102" s="303"/>
      <c r="T102" s="17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19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6"/>
      <c r="B104" s="291" t="s">
        <v>206</v>
      </c>
      <c r="G104" s="109"/>
      <c r="H104" s="32" t="s">
        <v>207</v>
      </c>
      <c r="I104" s="109"/>
      <c r="J104" s="32" t="s">
        <v>208</v>
      </c>
      <c r="K104" s="109"/>
      <c r="L104" s="32" t="s">
        <v>115</v>
      </c>
      <c r="P104" s="30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6"/>
      <c r="B105" s="34"/>
      <c r="G105" s="109"/>
      <c r="I105" s="109"/>
      <c r="K105" s="109"/>
      <c r="L105" s="15"/>
      <c r="M105" s="15"/>
      <c r="N105" s="15"/>
      <c r="O105" s="15"/>
      <c r="P105" s="35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6"/>
      <c r="B106" s="34"/>
      <c r="G106" s="109"/>
      <c r="I106" s="109"/>
      <c r="K106" s="109"/>
      <c r="L106" s="32" t="s">
        <v>116</v>
      </c>
      <c r="N106" s="109"/>
      <c r="O106" s="32" t="s">
        <v>209</v>
      </c>
      <c r="P106" s="30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6"/>
      <c r="B107" s="38"/>
      <c r="C107" s="15"/>
      <c r="D107" s="15"/>
      <c r="E107" s="15"/>
      <c r="F107" s="15"/>
      <c r="G107" s="121"/>
      <c r="H107" s="15"/>
      <c r="I107" s="121"/>
      <c r="J107" s="15"/>
      <c r="K107" s="121"/>
      <c r="L107" s="15"/>
      <c r="M107" s="15"/>
      <c r="N107" s="121"/>
      <c r="O107" s="15"/>
      <c r="P107" s="35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10"/>
      <c r="B108" s="6" t="s">
        <v>77</v>
      </c>
      <c r="G108" s="30"/>
      <c r="H108" s="267" t="s">
        <v>211</v>
      </c>
      <c r="I108" s="30"/>
      <c r="J108" s="320"/>
      <c r="K108" s="143"/>
      <c r="L108" s="267"/>
      <c r="M108" s="4"/>
      <c r="N108" s="174"/>
      <c r="O108" s="4"/>
      <c r="P108" s="17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93"/>
      <c r="B109" s="267" t="s">
        <v>212</v>
      </c>
      <c r="G109" s="30"/>
      <c r="H109" s="294"/>
      <c r="I109" s="30"/>
      <c r="J109" s="303"/>
      <c r="K109" s="143"/>
      <c r="L109" s="267"/>
      <c r="M109" s="267"/>
      <c r="N109" s="268"/>
      <c r="O109" s="267"/>
      <c r="P109" s="268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93"/>
      <c r="B110" s="267" t="s">
        <v>214</v>
      </c>
      <c r="G110" s="30"/>
      <c r="H110" s="324"/>
      <c r="I110" s="258"/>
      <c r="J110" s="324"/>
      <c r="K110" s="258"/>
      <c r="L110" s="267"/>
      <c r="M110" s="267"/>
      <c r="N110" s="268"/>
      <c r="O110" s="267"/>
      <c r="P110" s="268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10"/>
      <c r="B111" s="6" t="s">
        <v>216</v>
      </c>
      <c r="C111" s="6"/>
      <c r="D111" s="6"/>
      <c r="E111" s="6"/>
      <c r="F111" s="6"/>
      <c r="G111" s="268"/>
      <c r="H111" s="267"/>
      <c r="I111" s="268"/>
      <c r="J111" s="267"/>
      <c r="K111" s="326"/>
      <c r="L111" s="267"/>
      <c r="M111" s="267"/>
      <c r="N111" s="268"/>
      <c r="O111" s="267"/>
      <c r="P111" s="268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93"/>
      <c r="B112" s="267" t="s">
        <v>81</v>
      </c>
      <c r="G112" s="30"/>
      <c r="H112" s="294"/>
      <c r="I112" s="30"/>
      <c r="J112" s="294"/>
      <c r="K112" s="30"/>
      <c r="L112" s="267"/>
      <c r="M112" s="267"/>
      <c r="N112" s="268"/>
      <c r="O112" s="267"/>
      <c r="P112" s="268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10"/>
      <c r="B113" s="330" t="s">
        <v>82</v>
      </c>
      <c r="C113" s="15"/>
      <c r="D113" s="15"/>
      <c r="E113" s="15"/>
      <c r="F113" s="15"/>
      <c r="G113" s="35"/>
      <c r="H113" s="95"/>
      <c r="I113" s="186"/>
      <c r="J113" s="95"/>
      <c r="K113" s="186"/>
      <c r="L113" s="97"/>
      <c r="M113" s="97"/>
      <c r="N113" s="333"/>
      <c r="O113" s="97"/>
      <c r="P113" s="333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312"/>
      <c r="B114" s="335" t="s">
        <v>83</v>
      </c>
      <c r="C114" s="15"/>
      <c r="D114" s="15"/>
      <c r="E114" s="15"/>
      <c r="F114" s="15"/>
      <c r="G114" s="35"/>
      <c r="H114" s="337"/>
      <c r="I114" s="193"/>
      <c r="J114" s="337"/>
      <c r="K114" s="193"/>
      <c r="L114" s="341"/>
      <c r="M114" s="341"/>
      <c r="N114" s="342"/>
      <c r="O114" s="341"/>
      <c r="P114" s="342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93"/>
      <c r="B115" s="86"/>
      <c r="C115" s="86"/>
      <c r="D115" s="95"/>
      <c r="E115" s="95"/>
      <c r="F115" s="102"/>
      <c r="G115" s="202"/>
      <c r="H115" s="202"/>
      <c r="I115" s="202"/>
      <c r="J115" s="202"/>
      <c r="K115" s="202"/>
      <c r="L115" s="19"/>
      <c r="M115" s="19"/>
      <c r="N115" s="19"/>
      <c r="O115" s="19"/>
      <c r="P115" s="19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312"/>
      <c r="B116" s="345" t="s">
        <v>217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35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6"/>
      <c r="B117" s="164" t="s">
        <v>218</v>
      </c>
      <c r="G117" s="109"/>
      <c r="H117" s="247" t="s">
        <v>139</v>
      </c>
      <c r="I117" s="247" t="s">
        <v>220</v>
      </c>
      <c r="J117" s="168" t="s">
        <v>141</v>
      </c>
      <c r="K117" s="35"/>
      <c r="L117" s="117" t="s">
        <v>142</v>
      </c>
      <c r="M117" s="35"/>
      <c r="N117" s="117" t="s">
        <v>143</v>
      </c>
      <c r="O117" s="35"/>
      <c r="P117" s="119" t="s">
        <v>221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6"/>
      <c r="B118" s="350"/>
      <c r="C118" s="257"/>
      <c r="D118" s="257"/>
      <c r="E118" s="257"/>
      <c r="F118" s="257"/>
      <c r="G118" s="260"/>
      <c r="H118" s="260"/>
      <c r="I118" s="260"/>
      <c r="J118" s="122" t="s">
        <v>145</v>
      </c>
      <c r="K118" s="122" t="s">
        <v>146</v>
      </c>
      <c r="L118" s="125" t="s">
        <v>147</v>
      </c>
      <c r="M118" s="125" t="s">
        <v>148</v>
      </c>
      <c r="N118" s="125" t="s">
        <v>149</v>
      </c>
      <c r="O118" s="125" t="s">
        <v>150</v>
      </c>
      <c r="P118" s="35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10"/>
      <c r="B119" s="147" t="s">
        <v>84</v>
      </c>
      <c r="C119" s="131"/>
      <c r="D119" s="131"/>
      <c r="E119" s="131"/>
      <c r="F119" s="131"/>
      <c r="G119" s="143"/>
      <c r="H119" s="268"/>
      <c r="I119" s="353"/>
      <c r="J119" s="353"/>
      <c r="K119" s="354"/>
      <c r="L119" s="353"/>
      <c r="M119" s="353"/>
      <c r="N119" s="353"/>
      <c r="O119" s="353"/>
      <c r="P119" s="268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356"/>
      <c r="B120" s="357" t="s">
        <v>152</v>
      </c>
      <c r="C120" s="131"/>
      <c r="D120" s="131"/>
      <c r="E120" s="131"/>
      <c r="F120" s="131"/>
      <c r="G120" s="143"/>
      <c r="H120" s="326"/>
      <c r="I120" s="326"/>
      <c r="J120" s="326"/>
      <c r="K120" s="326"/>
      <c r="L120" s="268"/>
      <c r="M120" s="268"/>
      <c r="N120" s="268"/>
      <c r="O120" s="268"/>
      <c r="P120" s="268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356"/>
      <c r="B121" s="144" t="s">
        <v>153</v>
      </c>
      <c r="C121" s="131"/>
      <c r="D121" s="131"/>
      <c r="E121" s="131"/>
      <c r="F121" s="131"/>
      <c r="G121" s="170"/>
      <c r="H121" s="326"/>
      <c r="I121" s="326"/>
      <c r="J121" s="326"/>
      <c r="K121" s="326"/>
      <c r="L121" s="268"/>
      <c r="M121" s="268"/>
      <c r="N121" s="268"/>
      <c r="O121" s="268"/>
      <c r="P121" s="268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10"/>
      <c r="B122" s="147" t="s">
        <v>85</v>
      </c>
      <c r="C122" s="131"/>
      <c r="D122" s="131"/>
      <c r="E122" s="131"/>
      <c r="F122" s="131"/>
      <c r="G122" s="131"/>
      <c r="H122" s="268"/>
      <c r="I122" s="268"/>
      <c r="J122" s="268"/>
      <c r="K122" s="268"/>
      <c r="L122" s="268"/>
      <c r="M122" s="268"/>
      <c r="N122" s="268"/>
      <c r="O122" s="268"/>
      <c r="P122" s="268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356"/>
      <c r="B123" s="144" t="s">
        <v>152</v>
      </c>
      <c r="C123" s="131"/>
      <c r="D123" s="131"/>
      <c r="E123" s="131"/>
      <c r="F123" s="131"/>
      <c r="G123" s="170"/>
      <c r="H123" s="268"/>
      <c r="I123" s="268"/>
      <c r="J123" s="268"/>
      <c r="K123" s="268"/>
      <c r="L123" s="268"/>
      <c r="M123" s="268"/>
      <c r="N123" s="268"/>
      <c r="O123" s="268"/>
      <c r="P123" s="268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356"/>
      <c r="B124" s="144" t="s">
        <v>154</v>
      </c>
      <c r="C124" s="131"/>
      <c r="D124" s="131"/>
      <c r="E124" s="131"/>
      <c r="F124" s="131"/>
      <c r="G124" s="170"/>
      <c r="H124" s="268"/>
      <c r="I124" s="268"/>
      <c r="J124" s="268"/>
      <c r="K124" s="268"/>
      <c r="L124" s="268"/>
      <c r="M124" s="268"/>
      <c r="N124" s="268"/>
      <c r="O124" s="268"/>
      <c r="P124" s="268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10"/>
      <c r="B125" s="147" t="s">
        <v>86</v>
      </c>
      <c r="C125" s="131"/>
      <c r="D125" s="131"/>
      <c r="E125" s="131"/>
      <c r="F125" s="131"/>
      <c r="G125" s="131"/>
      <c r="H125" s="268"/>
      <c r="I125" s="268"/>
      <c r="J125" s="268"/>
      <c r="K125" s="268"/>
      <c r="L125" s="268"/>
      <c r="M125" s="268"/>
      <c r="N125" s="268"/>
      <c r="O125" s="268"/>
      <c r="P125" s="268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356"/>
      <c r="B126" s="144" t="s">
        <v>152</v>
      </c>
      <c r="C126" s="131"/>
      <c r="D126" s="131"/>
      <c r="E126" s="131"/>
      <c r="F126" s="131"/>
      <c r="G126" s="170"/>
      <c r="H126" s="268"/>
      <c r="I126" s="268"/>
      <c r="J126" s="268"/>
      <c r="K126" s="268"/>
      <c r="L126" s="268"/>
      <c r="M126" s="268"/>
      <c r="N126" s="268"/>
      <c r="O126" s="268"/>
      <c r="P126" s="268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356"/>
      <c r="B127" s="144" t="s">
        <v>154</v>
      </c>
      <c r="C127" s="131"/>
      <c r="D127" s="131"/>
      <c r="E127" s="131"/>
      <c r="F127" s="131"/>
      <c r="G127" s="170"/>
      <c r="H127" s="268"/>
      <c r="I127" s="268"/>
      <c r="J127" s="268"/>
      <c r="K127" s="268"/>
      <c r="L127" s="268"/>
      <c r="M127" s="268"/>
      <c r="N127" s="268"/>
      <c r="O127" s="268"/>
      <c r="P127" s="268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10"/>
      <c r="B128" s="364" t="s">
        <v>87</v>
      </c>
      <c r="C128" s="131"/>
      <c r="D128" s="131"/>
      <c r="E128" s="131"/>
      <c r="F128" s="131"/>
      <c r="G128" s="131"/>
      <c r="H128" s="268"/>
      <c r="I128" s="268"/>
      <c r="J128" s="268"/>
      <c r="K128" s="268"/>
      <c r="L128" s="268"/>
      <c r="M128" s="268"/>
      <c r="N128" s="365"/>
      <c r="O128" s="268"/>
      <c r="P128" s="268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356"/>
      <c r="B129" s="367" t="s">
        <v>152</v>
      </c>
      <c r="C129" s="131"/>
      <c r="D129" s="131"/>
      <c r="E129" s="131"/>
      <c r="F129" s="131"/>
      <c r="G129" s="170"/>
      <c r="H129" s="365"/>
      <c r="I129" s="365"/>
      <c r="J129" s="369"/>
      <c r="K129" s="365"/>
      <c r="L129" s="365"/>
      <c r="M129" s="365"/>
      <c r="N129" s="365"/>
      <c r="O129" s="268"/>
      <c r="P129" s="268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356"/>
      <c r="B130" s="367" t="s">
        <v>154</v>
      </c>
      <c r="C130" s="131"/>
      <c r="D130" s="131"/>
      <c r="E130" s="131"/>
      <c r="F130" s="131"/>
      <c r="G130" s="170"/>
      <c r="H130" s="365"/>
      <c r="I130" s="365"/>
      <c r="J130" s="369"/>
      <c r="K130" s="365"/>
      <c r="L130" s="365"/>
      <c r="M130" s="365"/>
      <c r="N130" s="365"/>
      <c r="O130" s="268"/>
      <c r="P130" s="268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10"/>
      <c r="B131" s="372" t="s">
        <v>88</v>
      </c>
      <c r="C131" s="131"/>
      <c r="D131" s="131"/>
      <c r="E131" s="131"/>
      <c r="F131" s="131"/>
      <c r="G131" s="131"/>
      <c r="H131" s="326"/>
      <c r="I131" s="369"/>
      <c r="J131" s="326"/>
      <c r="K131" s="369"/>
      <c r="L131" s="326"/>
      <c r="M131" s="268"/>
      <c r="N131" s="268"/>
      <c r="O131" s="268"/>
      <c r="P131" s="268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356"/>
      <c r="B132" s="144" t="s">
        <v>152</v>
      </c>
      <c r="C132" s="131"/>
      <c r="D132" s="131"/>
      <c r="E132" s="131"/>
      <c r="F132" s="131"/>
      <c r="G132" s="170"/>
      <c r="H132" s="268"/>
      <c r="I132" s="268"/>
      <c r="J132" s="268"/>
      <c r="K132" s="268"/>
      <c r="L132" s="268"/>
      <c r="M132" s="268"/>
      <c r="N132" s="268"/>
      <c r="O132" s="268"/>
      <c r="P132" s="268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356"/>
      <c r="B133" s="144" t="s">
        <v>154</v>
      </c>
      <c r="C133" s="131"/>
      <c r="D133" s="131"/>
      <c r="E133" s="131"/>
      <c r="F133" s="131"/>
      <c r="G133" s="170"/>
      <c r="H133" s="268"/>
      <c r="I133" s="268"/>
      <c r="J133" s="268"/>
      <c r="K133" s="268"/>
      <c r="L133" s="268"/>
      <c r="M133" s="268"/>
      <c r="N133" s="268"/>
      <c r="O133" s="268"/>
      <c r="P133" s="268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10"/>
      <c r="B134" s="147" t="s">
        <v>89</v>
      </c>
      <c r="C134" s="131"/>
      <c r="D134" s="131"/>
      <c r="E134" s="131"/>
      <c r="F134" s="131"/>
      <c r="G134" s="131"/>
      <c r="H134" s="268"/>
      <c r="I134" s="268"/>
      <c r="J134" s="268"/>
      <c r="K134" s="268"/>
      <c r="L134" s="268"/>
      <c r="M134" s="268"/>
      <c r="N134" s="268"/>
      <c r="O134" s="268"/>
      <c r="P134" s="268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356"/>
      <c r="B135" s="144" t="s">
        <v>152</v>
      </c>
      <c r="C135" s="131"/>
      <c r="D135" s="131"/>
      <c r="E135" s="131"/>
      <c r="F135" s="131"/>
      <c r="G135" s="170"/>
      <c r="H135" s="268"/>
      <c r="I135" s="268"/>
      <c r="J135" s="268"/>
      <c r="K135" s="268"/>
      <c r="L135" s="268"/>
      <c r="M135" s="268"/>
      <c r="N135" s="268"/>
      <c r="O135" s="268"/>
      <c r="P135" s="268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356"/>
      <c r="B136" s="144" t="s">
        <v>154</v>
      </c>
      <c r="C136" s="131"/>
      <c r="D136" s="131"/>
      <c r="E136" s="131"/>
      <c r="F136" s="131"/>
      <c r="G136" s="170"/>
      <c r="H136" s="268"/>
      <c r="I136" s="268"/>
      <c r="J136" s="268"/>
      <c r="K136" s="268"/>
      <c r="L136" s="268"/>
      <c r="M136" s="268"/>
      <c r="N136" s="268"/>
      <c r="O136" s="268"/>
      <c r="P136" s="268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10"/>
      <c r="B137" s="147" t="s">
        <v>90</v>
      </c>
      <c r="C137" s="131"/>
      <c r="D137" s="131"/>
      <c r="E137" s="131"/>
      <c r="F137" s="131"/>
      <c r="G137" s="131"/>
      <c r="H137" s="268"/>
      <c r="I137" s="268"/>
      <c r="J137" s="268"/>
      <c r="K137" s="268"/>
      <c r="L137" s="268"/>
      <c r="M137" s="268"/>
      <c r="N137" s="268"/>
      <c r="O137" s="268"/>
      <c r="P137" s="268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356"/>
      <c r="B138" s="144" t="s">
        <v>152</v>
      </c>
      <c r="C138" s="131"/>
      <c r="D138" s="131"/>
      <c r="E138" s="131"/>
      <c r="F138" s="131"/>
      <c r="G138" s="170"/>
      <c r="H138" s="268"/>
      <c r="I138" s="268"/>
      <c r="J138" s="268"/>
      <c r="K138" s="268"/>
      <c r="L138" s="268"/>
      <c r="M138" s="268"/>
      <c r="N138" s="268"/>
      <c r="O138" s="268"/>
      <c r="P138" s="268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356"/>
      <c r="B139" s="154" t="s">
        <v>154</v>
      </c>
      <c r="C139" s="15"/>
      <c r="D139" s="15"/>
      <c r="E139" s="15"/>
      <c r="F139" s="15"/>
      <c r="G139" s="35"/>
      <c r="H139" s="333"/>
      <c r="I139" s="333"/>
      <c r="J139" s="333"/>
      <c r="K139" s="333"/>
      <c r="L139" s="333"/>
      <c r="M139" s="333"/>
      <c r="N139" s="333"/>
      <c r="O139" s="333"/>
      <c r="P139" s="333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377"/>
      <c r="B140" s="378" t="s">
        <v>91</v>
      </c>
      <c r="C140" s="15"/>
      <c r="D140" s="15"/>
      <c r="E140" s="15"/>
      <c r="F140" s="15"/>
      <c r="G140" s="35"/>
      <c r="H140" s="92"/>
      <c r="I140" s="92"/>
      <c r="J140" s="92"/>
      <c r="K140" s="92"/>
      <c r="L140" s="92"/>
      <c r="M140" s="92"/>
      <c r="N140" s="92"/>
      <c r="O140" s="92"/>
      <c r="P140" s="92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379"/>
      <c r="B141" s="380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9"/>
      <c r="N141" s="19"/>
      <c r="O141" s="19"/>
      <c r="P141" s="19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6"/>
      <c r="B142" s="291" t="s">
        <v>230</v>
      </c>
      <c r="G142" s="109"/>
      <c r="H142" s="119" t="s">
        <v>139</v>
      </c>
      <c r="I142" s="249" t="s">
        <v>140</v>
      </c>
      <c r="J142" s="117" t="s">
        <v>141</v>
      </c>
      <c r="K142" s="35"/>
      <c r="L142" s="117" t="s">
        <v>142</v>
      </c>
      <c r="M142" s="35"/>
      <c r="N142" s="117" t="s">
        <v>143</v>
      </c>
      <c r="O142" s="35"/>
      <c r="P142" s="119" t="s">
        <v>232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6"/>
      <c r="B143" s="38"/>
      <c r="C143" s="15"/>
      <c r="D143" s="15"/>
      <c r="E143" s="15"/>
      <c r="F143" s="15"/>
      <c r="G143" s="121"/>
      <c r="H143" s="35"/>
      <c r="I143" s="121"/>
      <c r="J143" s="125" t="s">
        <v>145</v>
      </c>
      <c r="K143" s="125" t="s">
        <v>146</v>
      </c>
      <c r="L143" s="125" t="s">
        <v>147</v>
      </c>
      <c r="M143" s="125" t="s">
        <v>148</v>
      </c>
      <c r="N143" s="125" t="s">
        <v>149</v>
      </c>
      <c r="O143" s="125" t="s">
        <v>150</v>
      </c>
      <c r="P143" s="35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10"/>
      <c r="B144" s="6" t="s">
        <v>92</v>
      </c>
      <c r="G144" s="30"/>
      <c r="H144" s="268"/>
      <c r="I144" s="268"/>
      <c r="J144" s="268"/>
      <c r="K144" s="268"/>
      <c r="L144" s="268"/>
      <c r="M144" s="268"/>
      <c r="N144" s="268"/>
      <c r="O144" s="268"/>
      <c r="P144" s="268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10"/>
      <c r="B145" s="6" t="s">
        <v>93</v>
      </c>
      <c r="H145" s="268"/>
      <c r="I145" s="268"/>
      <c r="J145" s="268"/>
      <c r="K145" s="268"/>
      <c r="L145" s="268"/>
      <c r="M145" s="268"/>
      <c r="N145" s="268"/>
      <c r="O145" s="268"/>
      <c r="P145" s="268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10"/>
      <c r="B146" s="6" t="s">
        <v>94</v>
      </c>
      <c r="H146" s="268"/>
      <c r="I146" s="268"/>
      <c r="J146" s="268"/>
      <c r="K146" s="268"/>
      <c r="L146" s="268"/>
      <c r="M146" s="268"/>
      <c r="N146" s="268"/>
      <c r="O146" s="268"/>
      <c r="P146" s="268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10"/>
      <c r="B147" s="6" t="s">
        <v>95</v>
      </c>
      <c r="H147" s="268"/>
      <c r="I147" s="268"/>
      <c r="J147" s="268"/>
      <c r="K147" s="268"/>
      <c r="L147" s="268"/>
      <c r="M147" s="268"/>
      <c r="N147" s="268"/>
      <c r="O147" s="268"/>
      <c r="P147" s="268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10"/>
      <c r="B148" s="6" t="s">
        <v>97</v>
      </c>
      <c r="H148" s="268"/>
      <c r="I148" s="268"/>
      <c r="J148" s="268"/>
      <c r="K148" s="268"/>
      <c r="L148" s="268"/>
      <c r="M148" s="268"/>
      <c r="N148" s="268"/>
      <c r="O148" s="268"/>
      <c r="P148" s="268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10"/>
      <c r="B149" s="6" t="s">
        <v>98</v>
      </c>
      <c r="H149" s="268"/>
      <c r="I149" s="268"/>
      <c r="J149" s="268"/>
      <c r="K149" s="268"/>
      <c r="L149" s="268"/>
      <c r="M149" s="268"/>
      <c r="N149" s="268"/>
      <c r="O149" s="268"/>
      <c r="P149" s="268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10"/>
      <c r="B150" s="384" t="s">
        <v>99</v>
      </c>
      <c r="C150" s="15"/>
      <c r="D150" s="15"/>
      <c r="E150" s="15"/>
      <c r="F150" s="15"/>
      <c r="G150" s="15"/>
      <c r="H150" s="333"/>
      <c r="I150" s="333"/>
      <c r="J150" s="333"/>
      <c r="K150" s="333"/>
      <c r="L150" s="333"/>
      <c r="M150" s="333"/>
      <c r="N150" s="333"/>
      <c r="O150" s="333"/>
      <c r="P150" s="333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312"/>
      <c r="B151" s="87" t="s">
        <v>101</v>
      </c>
      <c r="C151" s="15"/>
      <c r="D151" s="15"/>
      <c r="E151" s="15"/>
      <c r="F151" s="15"/>
      <c r="G151" s="35"/>
      <c r="H151" s="92"/>
      <c r="I151" s="92"/>
      <c r="J151" s="92"/>
      <c r="K151" s="92"/>
      <c r="L151" s="92"/>
      <c r="M151" s="92"/>
      <c r="N151" s="92"/>
      <c r="O151" s="92"/>
      <c r="P151" s="9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306"/>
      <c r="B152" s="386" t="s">
        <v>235</v>
      </c>
      <c r="C152" s="15"/>
      <c r="D152" s="15"/>
      <c r="E152" s="15"/>
      <c r="F152" s="15"/>
      <c r="G152" s="35"/>
      <c r="H152" s="157"/>
      <c r="I152" s="157"/>
      <c r="J152" s="157"/>
      <c r="K152" s="157"/>
      <c r="L152" s="157"/>
      <c r="M152" s="157"/>
      <c r="N152" s="157"/>
      <c r="O152" s="157"/>
      <c r="P152" s="157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38"/>
      <c r="B153" s="160" t="s">
        <v>103</v>
      </c>
      <c r="C153" s="15"/>
      <c r="D153" s="15"/>
      <c r="E153" s="15"/>
      <c r="F153" s="15"/>
      <c r="G153" s="35"/>
      <c r="H153" s="92">
        <f>(H151-H152)</f>
        <v>0</v>
      </c>
      <c r="I153" s="92"/>
      <c r="J153" s="92"/>
      <c r="K153" s="92"/>
      <c r="L153" s="92"/>
      <c r="M153" s="92"/>
      <c r="N153" s="92"/>
      <c r="O153" s="92"/>
      <c r="P153" s="92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10"/>
      <c r="B154" s="6" t="s">
        <v>236</v>
      </c>
      <c r="M154" s="6"/>
      <c r="N154" s="6"/>
      <c r="O154" s="6"/>
      <c r="P154" s="6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10"/>
      <c r="B155" s="390" t="s">
        <v>237</v>
      </c>
      <c r="C155" s="390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"/>
      <c r="B156" s="7" t="s">
        <v>238</v>
      </c>
      <c r="M156" s="6"/>
      <c r="N156" s="6"/>
      <c r="O156" s="6"/>
      <c r="P156" s="6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392"/>
      <c r="B157" s="393" t="s">
        <v>239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"/>
      <c r="B158" s="7" t="s">
        <v>240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198"/>
      <c r="B159" s="16"/>
      <c r="C159" s="1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198"/>
      <c r="B160" s="16"/>
      <c r="C160" s="1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198"/>
      <c r="B161" s="16"/>
      <c r="C161" s="1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198"/>
      <c r="B162" s="16"/>
      <c r="C162" s="1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198"/>
      <c r="B163" s="16"/>
      <c r="C163" s="1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198"/>
      <c r="B164" s="16"/>
      <c r="C164" s="1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198"/>
      <c r="B165" s="16"/>
      <c r="C165" s="1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19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198"/>
      <c r="B167" s="16"/>
      <c r="C167" s="1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198"/>
      <c r="B168" s="16"/>
      <c r="C168" s="1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198"/>
      <c r="B169" s="16"/>
      <c r="C169" s="1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198"/>
      <c r="B170" s="16"/>
      <c r="C170" s="1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198"/>
      <c r="B171" s="16"/>
      <c r="C171" s="1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198"/>
      <c r="B172" s="16"/>
      <c r="C172" s="1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198"/>
      <c r="B173" s="16"/>
      <c r="C173" s="1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198"/>
      <c r="B174" s="16"/>
      <c r="C174" s="1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198"/>
      <c r="B175" s="16"/>
      <c r="C175" s="1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198"/>
      <c r="B176" s="16"/>
      <c r="C176" s="1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198"/>
      <c r="B177" s="16"/>
      <c r="C177" s="1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198"/>
      <c r="B178" s="16"/>
      <c r="C178" s="1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198"/>
      <c r="B179" s="16"/>
      <c r="C179" s="1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198"/>
      <c r="B180" s="16"/>
      <c r="C180" s="1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198"/>
      <c r="B181" s="16"/>
      <c r="C181" s="1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198"/>
      <c r="B182" s="16"/>
      <c r="C182" s="1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198"/>
      <c r="B183" s="16"/>
      <c r="C183" s="1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198"/>
      <c r="B184" s="16"/>
      <c r="C184" s="1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198"/>
      <c r="B185" s="16"/>
      <c r="C185" s="1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19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19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198"/>
      <c r="B188" s="16"/>
      <c r="C188" s="1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19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198"/>
      <c r="B190" s="16"/>
      <c r="C190" s="1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198"/>
      <c r="B191" s="16"/>
      <c r="C191" s="1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198"/>
      <c r="B192" s="16"/>
      <c r="C192" s="1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198"/>
      <c r="B193" s="16"/>
      <c r="C193" s="1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19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19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19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19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19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19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19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19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19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19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19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19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19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19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19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19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19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19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19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19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19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19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19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19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19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19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19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19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19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19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19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19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19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19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19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19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19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19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19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19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19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19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19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19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19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19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19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19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19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19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19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19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19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19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19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19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19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19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19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19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19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19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19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19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19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19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19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19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19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19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19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19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19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19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19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19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19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19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19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19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19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19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19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19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19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19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19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19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19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19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19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19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19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19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19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19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19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19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19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19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19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19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19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19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19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19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19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19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19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19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19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19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19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19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19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19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19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19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19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19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19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19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19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19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19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19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19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19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19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19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19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19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19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19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19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19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19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19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19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19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19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19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19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19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19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19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19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19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19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19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19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19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19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19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19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19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19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19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19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19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19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19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19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19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19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19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19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19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19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19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19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19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19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19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19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19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19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19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19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19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19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19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19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19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19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19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19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19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19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19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19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19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19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19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19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19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19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19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19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19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19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19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19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19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19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19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19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19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19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19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19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19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19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19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19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19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19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19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19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19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19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19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19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19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19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19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19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19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19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19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19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19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19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19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19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19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19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19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19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19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19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19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19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19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19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19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19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19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19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19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19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19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19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19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19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19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19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19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19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19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19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19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19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19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19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19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19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19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19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19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19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19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19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19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19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19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19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19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19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19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19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19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19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19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19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19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19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19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19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19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19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19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19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19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19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19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19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19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19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19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19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19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19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19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19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19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19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19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19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19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19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19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19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19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19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19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19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19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19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19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19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19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19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19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19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19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19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19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19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19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19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19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19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19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19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19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19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19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19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19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19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19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19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19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19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19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19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19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19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19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19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19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19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19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19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19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19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19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19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19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19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19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19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19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19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19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19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19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19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19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19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19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19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19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19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19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19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19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19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19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19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19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19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19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19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19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19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19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19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19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19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19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19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19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19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19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19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19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19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19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19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19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19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19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19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19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19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19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19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19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19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19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19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19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19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19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19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19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19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19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19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19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19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19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19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19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19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19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19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19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19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19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19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19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19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19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19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19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19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19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19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19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19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19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19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19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19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19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19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19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19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19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19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19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19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19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19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19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19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19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19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19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19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19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19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19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19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19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19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19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19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19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19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19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19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19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19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19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19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19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19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19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19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19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19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198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198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198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198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198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198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198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198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198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198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198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198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198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198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198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198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198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198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198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198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198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198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198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198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198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198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198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198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198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198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198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198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198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198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198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198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198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198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198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198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198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198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198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198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198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198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198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198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198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198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198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198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198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198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198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198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198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198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198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198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198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198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198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198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198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198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198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198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198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198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198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198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198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198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198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198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198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198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198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198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198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198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198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198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198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198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198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198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198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198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198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198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198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198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198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198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198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198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198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198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198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198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198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198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198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198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198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198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198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198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198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198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198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198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198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198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198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198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198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198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198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198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198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198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198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198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198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198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198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198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198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198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198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198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198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198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198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198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198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198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198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198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198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198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198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198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198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198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198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198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198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198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198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198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198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198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198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198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198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198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198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198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198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198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198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198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198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198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198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198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198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198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198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198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198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198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198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198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198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198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198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198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198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19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198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198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198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198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198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198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198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198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198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198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198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198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198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198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198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198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198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198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198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198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198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198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198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198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198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198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198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198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198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198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198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198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198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198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198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19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198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19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198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19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198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19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198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19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198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19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198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19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198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19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198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19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198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19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198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19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198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19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198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19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198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19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198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19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198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19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198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19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198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19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198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19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198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19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198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19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198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19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198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19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198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19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198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19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198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19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198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198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198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198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198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198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198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198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198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198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198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198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198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198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198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198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198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198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198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198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198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198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198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198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198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198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198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198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198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198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198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198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198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198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198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198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198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198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198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198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198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198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198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198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198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198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198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198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198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198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198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198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416"/>
      <c r="B1001" s="294"/>
      <c r="C1001" s="294"/>
      <c r="D1001" s="294"/>
      <c r="E1001" s="294"/>
      <c r="F1001" s="294"/>
      <c r="G1001" s="294"/>
      <c r="H1001" s="294"/>
      <c r="I1001" s="294"/>
      <c r="J1001" s="294"/>
      <c r="K1001" s="294"/>
      <c r="L1001" s="294"/>
      <c r="M1001" s="294"/>
      <c r="N1001" s="294"/>
      <c r="O1001" s="294"/>
      <c r="P1001" s="294"/>
      <c r="Q1001" s="294"/>
      <c r="R1001" s="294"/>
      <c r="S1001" s="294"/>
      <c r="T1001" s="294"/>
      <c r="U1001" s="294"/>
      <c r="V1001" s="294"/>
      <c r="W1001" s="294"/>
      <c r="X1001" s="294"/>
      <c r="Y1001" s="294"/>
      <c r="Z1001" s="294"/>
      <c r="AA1001" s="294"/>
      <c r="AB1001" s="294"/>
      <c r="AC1001" s="294"/>
      <c r="AD1001" s="294"/>
      <c r="AE1001" s="294"/>
      <c r="AF1001" s="294"/>
      <c r="AG1001" s="294"/>
      <c r="AH1001" s="294"/>
      <c r="AI1001" s="294"/>
      <c r="AJ1001" s="294"/>
    </row>
  </sheetData>
  <mergeCells count="275">
    <mergeCell ref="J74:P74"/>
    <mergeCell ref="L75:N75"/>
    <mergeCell ref="O75:P76"/>
    <mergeCell ref="B72:J72"/>
    <mergeCell ref="B74:I76"/>
    <mergeCell ref="J75:K76"/>
    <mergeCell ref="B77:I77"/>
    <mergeCell ref="J77:K77"/>
    <mergeCell ref="B78:I78"/>
    <mergeCell ref="B79:I79"/>
    <mergeCell ref="J36:K36"/>
    <mergeCell ref="L36:M36"/>
    <mergeCell ref="H33:I33"/>
    <mergeCell ref="J33:K33"/>
    <mergeCell ref="B34:G34"/>
    <mergeCell ref="H34:I34"/>
    <mergeCell ref="J34:K34"/>
    <mergeCell ref="L34:N34"/>
    <mergeCell ref="B36:G37"/>
    <mergeCell ref="B38:C38"/>
    <mergeCell ref="B41:C41"/>
    <mergeCell ref="B44:C44"/>
    <mergeCell ref="B47:C47"/>
    <mergeCell ref="B50:C50"/>
    <mergeCell ref="B53:C53"/>
    <mergeCell ref="B56:C56"/>
    <mergeCell ref="B59:C59"/>
    <mergeCell ref="K61:L61"/>
    <mergeCell ref="M61:N61"/>
    <mergeCell ref="O61:P61"/>
    <mergeCell ref="K62:L62"/>
    <mergeCell ref="M62:N62"/>
    <mergeCell ref="O62:P62"/>
    <mergeCell ref="B61:J62"/>
    <mergeCell ref="B63:I63"/>
    <mergeCell ref="B64:I64"/>
    <mergeCell ref="B65:I65"/>
    <mergeCell ref="B66:I66"/>
    <mergeCell ref="B67:I67"/>
    <mergeCell ref="K68:P68"/>
    <mergeCell ref="K69:P69"/>
    <mergeCell ref="B68:H68"/>
    <mergeCell ref="B69:H69"/>
    <mergeCell ref="B70:H70"/>
    <mergeCell ref="B71:H71"/>
    <mergeCell ref="M71:N71"/>
    <mergeCell ref="O71:P71"/>
    <mergeCell ref="O72:P72"/>
    <mergeCell ref="H84:H85"/>
    <mergeCell ref="I84:I85"/>
    <mergeCell ref="M84:N85"/>
    <mergeCell ref="O84:P85"/>
    <mergeCell ref="B104:G107"/>
    <mergeCell ref="B108:G108"/>
    <mergeCell ref="H108:I108"/>
    <mergeCell ref="J108:K108"/>
    <mergeCell ref="B109:G109"/>
    <mergeCell ref="H109:I109"/>
    <mergeCell ref="J109:K109"/>
    <mergeCell ref="B110:G110"/>
    <mergeCell ref="H110:I110"/>
    <mergeCell ref="J110:K110"/>
    <mergeCell ref="B112:G112"/>
    <mergeCell ref="H112:I112"/>
    <mergeCell ref="J112:K112"/>
    <mergeCell ref="B113:G113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N142:O142"/>
    <mergeCell ref="P142:P143"/>
    <mergeCell ref="B140:G140"/>
    <mergeCell ref="B141:L141"/>
    <mergeCell ref="B142:G143"/>
    <mergeCell ref="H142:H143"/>
    <mergeCell ref="I142:I143"/>
    <mergeCell ref="J142:K142"/>
    <mergeCell ref="L142:M142"/>
    <mergeCell ref="B151:G151"/>
    <mergeCell ref="B152:G152"/>
    <mergeCell ref="B153:G153"/>
    <mergeCell ref="B154:L154"/>
    <mergeCell ref="B156:L156"/>
    <mergeCell ref="B157:P157"/>
    <mergeCell ref="B158:L158"/>
    <mergeCell ref="B144:G144"/>
    <mergeCell ref="B145:G145"/>
    <mergeCell ref="B146:G146"/>
    <mergeCell ref="B147:G147"/>
    <mergeCell ref="B148:G148"/>
    <mergeCell ref="B149:G149"/>
    <mergeCell ref="B150:G150"/>
    <mergeCell ref="B80:I80"/>
    <mergeCell ref="B82:P83"/>
    <mergeCell ref="B84:B85"/>
    <mergeCell ref="C84:D85"/>
    <mergeCell ref="E84:E85"/>
    <mergeCell ref="F84:F85"/>
    <mergeCell ref="G84:G85"/>
    <mergeCell ref="J96:P96"/>
    <mergeCell ref="Q96:R98"/>
    <mergeCell ref="S96:T98"/>
    <mergeCell ref="J97:K98"/>
    <mergeCell ref="L97:N97"/>
    <mergeCell ref="O97:P98"/>
    <mergeCell ref="J84:J85"/>
    <mergeCell ref="K84:L85"/>
    <mergeCell ref="M86:N86"/>
    <mergeCell ref="B92:N92"/>
    <mergeCell ref="B93:N93"/>
    <mergeCell ref="B94:N94"/>
    <mergeCell ref="B96:I98"/>
    <mergeCell ref="Q101:R101"/>
    <mergeCell ref="S101:T101"/>
    <mergeCell ref="Q102:R102"/>
    <mergeCell ref="S102:T102"/>
    <mergeCell ref="B99:I99"/>
    <mergeCell ref="J99:K99"/>
    <mergeCell ref="Q99:R99"/>
    <mergeCell ref="S99:T99"/>
    <mergeCell ref="B100:I100"/>
    <mergeCell ref="Q100:R100"/>
    <mergeCell ref="B101:I101"/>
    <mergeCell ref="B102:I102"/>
    <mergeCell ref="J102:K102"/>
    <mergeCell ref="H104:I107"/>
    <mergeCell ref="J104:K107"/>
    <mergeCell ref="L104:P105"/>
    <mergeCell ref="L106:N107"/>
    <mergeCell ref="O106:P107"/>
    <mergeCell ref="B119:G119"/>
    <mergeCell ref="B120:G120"/>
    <mergeCell ref="B121:G121"/>
    <mergeCell ref="B122:G122"/>
    <mergeCell ref="B123:G123"/>
    <mergeCell ref="B124:G124"/>
    <mergeCell ref="B125:G125"/>
    <mergeCell ref="J18:K18"/>
    <mergeCell ref="L18:N18"/>
    <mergeCell ref="B17:G17"/>
    <mergeCell ref="H17:I17"/>
    <mergeCell ref="J17:K17"/>
    <mergeCell ref="L17:N17"/>
    <mergeCell ref="O17:P17"/>
    <mergeCell ref="H18:I18"/>
    <mergeCell ref="O18:P18"/>
    <mergeCell ref="L20:N20"/>
    <mergeCell ref="O20:P20"/>
    <mergeCell ref="B18:G18"/>
    <mergeCell ref="B19:G19"/>
    <mergeCell ref="H19:I19"/>
    <mergeCell ref="J19:K19"/>
    <mergeCell ref="L19:N19"/>
    <mergeCell ref="O19:P19"/>
    <mergeCell ref="B20:G20"/>
    <mergeCell ref="H12:I12"/>
    <mergeCell ref="J12:K12"/>
    <mergeCell ref="L12:N12"/>
    <mergeCell ref="O12:P12"/>
    <mergeCell ref="B8:G11"/>
    <mergeCell ref="H8:I11"/>
    <mergeCell ref="J8:K11"/>
    <mergeCell ref="L8:P9"/>
    <mergeCell ref="L10:N11"/>
    <mergeCell ref="O10:P11"/>
    <mergeCell ref="B12:G12"/>
    <mergeCell ref="J14:K14"/>
    <mergeCell ref="L14:N14"/>
    <mergeCell ref="L15:N15"/>
    <mergeCell ref="O15:P15"/>
    <mergeCell ref="L16:N16"/>
    <mergeCell ref="O16:P16"/>
    <mergeCell ref="B13:G13"/>
    <mergeCell ref="H13:I13"/>
    <mergeCell ref="J13:K13"/>
    <mergeCell ref="L13:N13"/>
    <mergeCell ref="O13:P13"/>
    <mergeCell ref="H14:I14"/>
    <mergeCell ref="O14:P14"/>
    <mergeCell ref="B14:G14"/>
    <mergeCell ref="B15:G15"/>
    <mergeCell ref="H15:I15"/>
    <mergeCell ref="J15:K15"/>
    <mergeCell ref="B16:G16"/>
    <mergeCell ref="H16:I16"/>
    <mergeCell ref="J16:K16"/>
    <mergeCell ref="H20:I20"/>
    <mergeCell ref="J20:K20"/>
    <mergeCell ref="B21:G21"/>
    <mergeCell ref="H21:I21"/>
    <mergeCell ref="J21:K21"/>
    <mergeCell ref="L21:N21"/>
    <mergeCell ref="O21:P21"/>
    <mergeCell ref="J31:K31"/>
    <mergeCell ref="L31:N31"/>
    <mergeCell ref="B30:G30"/>
    <mergeCell ref="H30:I30"/>
    <mergeCell ref="J30:K30"/>
    <mergeCell ref="L30:N30"/>
    <mergeCell ref="O30:P30"/>
    <mergeCell ref="H31:I31"/>
    <mergeCell ref="O31:P31"/>
    <mergeCell ref="L33:N33"/>
    <mergeCell ref="O33:P33"/>
    <mergeCell ref="B31:G31"/>
    <mergeCell ref="B32:G32"/>
    <mergeCell ref="H32:I32"/>
    <mergeCell ref="J32:K32"/>
    <mergeCell ref="L32:N32"/>
    <mergeCell ref="O32:P32"/>
    <mergeCell ref="B33:G33"/>
    <mergeCell ref="J23:K23"/>
    <mergeCell ref="L23:N23"/>
    <mergeCell ref="L24:N24"/>
    <mergeCell ref="O24:P24"/>
    <mergeCell ref="L25:N25"/>
    <mergeCell ref="O25:P25"/>
    <mergeCell ref="B22:G22"/>
    <mergeCell ref="H22:I22"/>
    <mergeCell ref="J22:K22"/>
    <mergeCell ref="L22:N22"/>
    <mergeCell ref="O22:P22"/>
    <mergeCell ref="H23:I23"/>
    <mergeCell ref="O23:P23"/>
    <mergeCell ref="B23:G23"/>
    <mergeCell ref="B24:G24"/>
    <mergeCell ref="H24:I24"/>
    <mergeCell ref="J24:K24"/>
    <mergeCell ref="B25:G25"/>
    <mergeCell ref="H25:I25"/>
    <mergeCell ref="J25:K25"/>
    <mergeCell ref="J27:K27"/>
    <mergeCell ref="L27:N27"/>
    <mergeCell ref="L28:N28"/>
    <mergeCell ref="O28:P28"/>
    <mergeCell ref="L29:N29"/>
    <mergeCell ref="O29:P29"/>
    <mergeCell ref="B26:G26"/>
    <mergeCell ref="H26:I26"/>
    <mergeCell ref="J26:K26"/>
    <mergeCell ref="L26:N26"/>
    <mergeCell ref="O26:P26"/>
    <mergeCell ref="H27:I27"/>
    <mergeCell ref="O27:P27"/>
    <mergeCell ref="B27:G27"/>
    <mergeCell ref="B28:G28"/>
    <mergeCell ref="H28:I28"/>
    <mergeCell ref="J28:K28"/>
    <mergeCell ref="B29:G29"/>
    <mergeCell ref="H29:I29"/>
    <mergeCell ref="J29:K29"/>
    <mergeCell ref="H36:H37"/>
    <mergeCell ref="I36:I37"/>
    <mergeCell ref="N36:O36"/>
    <mergeCell ref="P36:P37"/>
    <mergeCell ref="N117:O117"/>
    <mergeCell ref="P117:P118"/>
    <mergeCell ref="B114:G114"/>
    <mergeCell ref="B116:P116"/>
    <mergeCell ref="B117:G118"/>
    <mergeCell ref="H117:H118"/>
    <mergeCell ref="I117:I118"/>
    <mergeCell ref="J117:K117"/>
    <mergeCell ref="L117:M117"/>
  </mergeCells>
  <drawing r:id="rId1"/>
</worksheet>
</file>